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tosyo_manin\Downloads\"/>
    </mc:Choice>
  </mc:AlternateContent>
  <xr:revisionPtr revIDLastSave="0" documentId="13_ncr:1_{5A071FBB-EA43-4EF1-B462-95C3C8727A96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AT CABANG" sheetId="1" r:id="rId1"/>
    <sheet name="AT SALESMAN" sheetId="2" r:id="rId2"/>
    <sheet name="AT DETAIL" sheetId="3" r:id="rId3"/>
    <sheet name="AT HOMEBRAND" sheetId="4" r:id="rId4"/>
    <sheet name="CALL" sheetId="5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1" i="3" l="1"/>
  <c r="E14" i="1" l="1"/>
  <c r="E13" i="1"/>
  <c r="E12" i="1"/>
  <c r="E11" i="1"/>
  <c r="D14" i="1"/>
  <c r="G14" i="1" s="1"/>
  <c r="D13" i="1"/>
  <c r="G13" i="1" s="1"/>
  <c r="D12" i="1"/>
  <c r="G12" i="1" s="1"/>
  <c r="D11" i="1"/>
  <c r="G11" i="1" s="1"/>
  <c r="D10" i="1"/>
  <c r="G10" i="1" s="1"/>
  <c r="E10" i="1"/>
  <c r="R66" i="3"/>
  <c r="P66" i="3"/>
  <c r="G64" i="3"/>
  <c r="G65" i="3" s="1"/>
  <c r="J63" i="3"/>
  <c r="I63" i="3"/>
  <c r="K63" i="3" s="1"/>
  <c r="H63" i="3"/>
  <c r="J62" i="3"/>
  <c r="I62" i="3"/>
  <c r="K62" i="3" s="1"/>
  <c r="H62" i="3"/>
  <c r="P61" i="3"/>
  <c r="J61" i="3"/>
  <c r="L61" i="3" s="1"/>
  <c r="I61" i="3"/>
  <c r="K61" i="3" s="1"/>
  <c r="H61" i="3"/>
  <c r="G60" i="3"/>
  <c r="J59" i="3"/>
  <c r="L59" i="3" s="1"/>
  <c r="I59" i="3"/>
  <c r="K59" i="3" s="1"/>
  <c r="H59" i="3"/>
  <c r="J58" i="3"/>
  <c r="K58" i="3" s="1"/>
  <c r="I58" i="3"/>
  <c r="H58" i="3"/>
  <c r="P57" i="3"/>
  <c r="J57" i="3"/>
  <c r="L57" i="3" s="1"/>
  <c r="I57" i="3"/>
  <c r="I60" i="3" s="1"/>
  <c r="H57" i="3"/>
  <c r="H60" i="3" s="1"/>
  <c r="G55" i="3"/>
  <c r="J54" i="3"/>
  <c r="I54" i="3"/>
  <c r="H54" i="3"/>
  <c r="J53" i="3"/>
  <c r="I53" i="3"/>
  <c r="H53" i="3"/>
  <c r="P52" i="3"/>
  <c r="J52" i="3"/>
  <c r="L52" i="3" s="1"/>
  <c r="I52" i="3"/>
  <c r="H52" i="3"/>
  <c r="G51" i="3"/>
  <c r="G56" i="3" s="1"/>
  <c r="J50" i="3"/>
  <c r="L50" i="3" s="1"/>
  <c r="I50" i="3"/>
  <c r="H50" i="3"/>
  <c r="J49" i="3"/>
  <c r="I49" i="3"/>
  <c r="H49" i="3"/>
  <c r="P48" i="3"/>
  <c r="P65" i="3" s="1"/>
  <c r="J48" i="3"/>
  <c r="I48" i="3"/>
  <c r="H48" i="3"/>
  <c r="G47" i="3"/>
  <c r="J46" i="3"/>
  <c r="I46" i="3"/>
  <c r="H46" i="3"/>
  <c r="J45" i="3"/>
  <c r="I45" i="3"/>
  <c r="H45" i="3"/>
  <c r="P44" i="3"/>
  <c r="J44" i="3"/>
  <c r="I44" i="3"/>
  <c r="H44" i="3"/>
  <c r="G43" i="3"/>
  <c r="J42" i="3"/>
  <c r="I42" i="3"/>
  <c r="H42" i="3"/>
  <c r="J41" i="3"/>
  <c r="I41" i="3"/>
  <c r="P40" i="3"/>
  <c r="P56" i="3" s="1"/>
  <c r="J40" i="3"/>
  <c r="K40" i="3" s="1"/>
  <c r="I40" i="3"/>
  <c r="H40" i="3"/>
  <c r="G38" i="3"/>
  <c r="J37" i="3"/>
  <c r="I37" i="3"/>
  <c r="H37" i="3"/>
  <c r="J36" i="3"/>
  <c r="I36" i="3"/>
  <c r="H36" i="3"/>
  <c r="P35" i="3"/>
  <c r="J35" i="3"/>
  <c r="L35" i="3" s="1"/>
  <c r="I35" i="3"/>
  <c r="I38" i="3" s="1"/>
  <c r="H35" i="3"/>
  <c r="G34" i="3"/>
  <c r="X33" i="3"/>
  <c r="J33" i="3"/>
  <c r="I33" i="3"/>
  <c r="H33" i="3"/>
  <c r="L33" i="3" s="1"/>
  <c r="X32" i="3"/>
  <c r="J32" i="3"/>
  <c r="I32" i="3"/>
  <c r="H32" i="3"/>
  <c r="X31" i="3"/>
  <c r="J31" i="3"/>
  <c r="J34" i="3" s="1"/>
  <c r="I31" i="3"/>
  <c r="I34" i="3" s="1"/>
  <c r="H31" i="3"/>
  <c r="H34" i="3" s="1"/>
  <c r="G30" i="3"/>
  <c r="J29" i="3"/>
  <c r="I29" i="3"/>
  <c r="K29" i="3" s="1"/>
  <c r="M29" i="3" s="1"/>
  <c r="H29" i="3"/>
  <c r="J28" i="3"/>
  <c r="I28" i="3"/>
  <c r="H28" i="3"/>
  <c r="L27" i="3"/>
  <c r="J27" i="3"/>
  <c r="I27" i="3"/>
  <c r="H27" i="3"/>
  <c r="G26" i="3"/>
  <c r="J25" i="3"/>
  <c r="I25" i="3"/>
  <c r="H25" i="3"/>
  <c r="J24" i="3"/>
  <c r="I24" i="3"/>
  <c r="H24" i="3"/>
  <c r="P23" i="3"/>
  <c r="P39" i="3" s="1"/>
  <c r="J23" i="3"/>
  <c r="I23" i="3"/>
  <c r="H23" i="3"/>
  <c r="H26" i="3" s="1"/>
  <c r="G21" i="3"/>
  <c r="L20" i="3"/>
  <c r="J20" i="3"/>
  <c r="I20" i="3"/>
  <c r="H20" i="3"/>
  <c r="J19" i="3"/>
  <c r="L19" i="3" s="1"/>
  <c r="I19" i="3"/>
  <c r="H19" i="3"/>
  <c r="J18" i="3"/>
  <c r="I18" i="3"/>
  <c r="I21" i="3" s="1"/>
  <c r="H18" i="3"/>
  <c r="G17" i="3"/>
  <c r="J16" i="3"/>
  <c r="L16" i="3" s="1"/>
  <c r="I16" i="3"/>
  <c r="K16" i="3" s="1"/>
  <c r="H16" i="3"/>
  <c r="J15" i="3"/>
  <c r="I15" i="3"/>
  <c r="H15" i="3"/>
  <c r="J14" i="3"/>
  <c r="I14" i="3"/>
  <c r="H14" i="3"/>
  <c r="G13" i="3"/>
  <c r="J12" i="3"/>
  <c r="I12" i="3"/>
  <c r="H12" i="3"/>
  <c r="J11" i="3"/>
  <c r="I11" i="3"/>
  <c r="H11" i="3"/>
  <c r="X10" i="3"/>
  <c r="P10" i="3"/>
  <c r="J10" i="3"/>
  <c r="I10" i="3"/>
  <c r="H10" i="3"/>
  <c r="X9" i="3"/>
  <c r="G9" i="3"/>
  <c r="X8" i="3"/>
  <c r="J8" i="3"/>
  <c r="L8" i="3" s="1"/>
  <c r="I8" i="3"/>
  <c r="K8" i="3" s="1"/>
  <c r="N8" i="3" s="1"/>
  <c r="H8" i="3"/>
  <c r="J7" i="3"/>
  <c r="I7" i="3"/>
  <c r="K7" i="3" s="1"/>
  <c r="H7" i="3"/>
  <c r="H9" i="3" s="1"/>
  <c r="P6" i="3"/>
  <c r="J6" i="3"/>
  <c r="L6" i="3" s="1"/>
  <c r="I6" i="3"/>
  <c r="H6" i="3"/>
  <c r="L32" i="3" l="1"/>
  <c r="J51" i="3"/>
  <c r="K49" i="3"/>
  <c r="N49" i="3" s="1"/>
  <c r="K50" i="3"/>
  <c r="N50" i="3" s="1"/>
  <c r="L12" i="3"/>
  <c r="L11" i="3"/>
  <c r="I17" i="3"/>
  <c r="K15" i="3"/>
  <c r="N15" i="3" s="1"/>
  <c r="K20" i="3"/>
  <c r="M20" i="3" s="1"/>
  <c r="K25" i="3"/>
  <c r="M25" i="3" s="1"/>
  <c r="K27" i="3"/>
  <c r="N27" i="3" s="1"/>
  <c r="K32" i="3"/>
  <c r="M32" i="3" s="1"/>
  <c r="K33" i="3"/>
  <c r="M33" i="3" s="1"/>
  <c r="I43" i="3"/>
  <c r="J47" i="3"/>
  <c r="L54" i="3"/>
  <c r="K11" i="3"/>
  <c r="N11" i="3" s="1"/>
  <c r="K19" i="3"/>
  <c r="M19" i="3" s="1"/>
  <c r="N29" i="3"/>
  <c r="L49" i="3"/>
  <c r="N59" i="3"/>
  <c r="M59" i="3"/>
  <c r="N16" i="3"/>
  <c r="M16" i="3"/>
  <c r="N33" i="3"/>
  <c r="Q40" i="3"/>
  <c r="R40" i="3" s="1"/>
  <c r="R56" i="3" s="1"/>
  <c r="N40" i="3"/>
  <c r="N20" i="3"/>
  <c r="K6" i="3"/>
  <c r="Q6" i="3" s="1"/>
  <c r="R6" i="3" s="1"/>
  <c r="R13" i="3" s="1"/>
  <c r="R21" i="3" s="1"/>
  <c r="R30" i="3" s="1"/>
  <c r="R38" i="3" s="1"/>
  <c r="R47" i="3" s="1"/>
  <c r="R55" i="3" s="1"/>
  <c r="R64" i="3" s="1"/>
  <c r="J9" i="3"/>
  <c r="L9" i="3" s="1"/>
  <c r="L15" i="3"/>
  <c r="L28" i="3"/>
  <c r="I30" i="3"/>
  <c r="H43" i="3"/>
  <c r="L40" i="3"/>
  <c r="L42" i="3"/>
  <c r="M50" i="3"/>
  <c r="K53" i="3"/>
  <c r="N53" i="3" s="1"/>
  <c r="F11" i="1"/>
  <c r="F13" i="1"/>
  <c r="L34" i="3"/>
  <c r="L31" i="3"/>
  <c r="K12" i="3"/>
  <c r="H17" i="3"/>
  <c r="H21" i="3"/>
  <c r="K24" i="3"/>
  <c r="N24" i="3" s="1"/>
  <c r="K28" i="3"/>
  <c r="N28" i="3" s="1"/>
  <c r="N30" i="3" s="1"/>
  <c r="L29" i="3"/>
  <c r="K31" i="3"/>
  <c r="H38" i="3"/>
  <c r="K37" i="3"/>
  <c r="N37" i="3" s="1"/>
  <c r="J43" i="3"/>
  <c r="L62" i="3"/>
  <c r="F10" i="1"/>
  <c r="F12" i="1"/>
  <c r="F14" i="1"/>
  <c r="H47" i="3"/>
  <c r="J17" i="3"/>
  <c r="L17" i="3" s="1"/>
  <c r="J21" i="3"/>
  <c r="L21" i="3" s="1"/>
  <c r="G39" i="3"/>
  <c r="L36" i="3"/>
  <c r="K44" i="3"/>
  <c r="M44" i="3" s="1"/>
  <c r="K45" i="3"/>
  <c r="M45" i="3" s="1"/>
  <c r="K48" i="3"/>
  <c r="H55" i="3"/>
  <c r="K54" i="3"/>
  <c r="M54" i="3" s="1"/>
  <c r="K57" i="3"/>
  <c r="K60" i="3" s="1"/>
  <c r="H64" i="3"/>
  <c r="H65" i="3" s="1"/>
  <c r="N54" i="3"/>
  <c r="Q61" i="3"/>
  <c r="R61" i="3" s="1"/>
  <c r="N61" i="3"/>
  <c r="M61" i="3"/>
  <c r="K64" i="3"/>
  <c r="N58" i="3"/>
  <c r="M58" i="3"/>
  <c r="N63" i="3"/>
  <c r="M63" i="3"/>
  <c r="M37" i="3"/>
  <c r="N7" i="3"/>
  <c r="K9" i="3"/>
  <c r="M7" i="3"/>
  <c r="N44" i="3"/>
  <c r="H56" i="3"/>
  <c r="M53" i="3"/>
  <c r="J38" i="3"/>
  <c r="L38" i="3" s="1"/>
  <c r="J60" i="3"/>
  <c r="N62" i="3"/>
  <c r="M62" i="3"/>
  <c r="I64" i="3"/>
  <c r="J64" i="3"/>
  <c r="L25" i="3"/>
  <c r="K35" i="3"/>
  <c r="I47" i="3"/>
  <c r="M48" i="3"/>
  <c r="I55" i="3"/>
  <c r="L58" i="3"/>
  <c r="L37" i="3"/>
  <c r="L45" i="3"/>
  <c r="L47" i="3"/>
  <c r="N48" i="3"/>
  <c r="M49" i="3"/>
  <c r="J55" i="3"/>
  <c r="N19" i="3"/>
  <c r="K30" i="3"/>
  <c r="L44" i="3"/>
  <c r="K52" i="3"/>
  <c r="L63" i="3"/>
  <c r="H13" i="3"/>
  <c r="H22" i="3" s="1"/>
  <c r="L24" i="3"/>
  <c r="K41" i="3"/>
  <c r="Q48" i="3"/>
  <c r="R48" i="3" s="1"/>
  <c r="R65" i="3" s="1"/>
  <c r="P9" i="3"/>
  <c r="P17" i="3" s="1"/>
  <c r="P26" i="3" s="1"/>
  <c r="P34" i="3" s="1"/>
  <c r="P43" i="3" s="1"/>
  <c r="P51" i="3" s="1"/>
  <c r="P60" i="3" s="1"/>
  <c r="P22" i="3"/>
  <c r="I9" i="3"/>
  <c r="I13" i="3"/>
  <c r="K10" i="3"/>
  <c r="P13" i="3"/>
  <c r="P21" i="3" s="1"/>
  <c r="P30" i="3" s="1"/>
  <c r="P38" i="3" s="1"/>
  <c r="P47" i="3" s="1"/>
  <c r="P55" i="3" s="1"/>
  <c r="P64" i="3" s="1"/>
  <c r="K23" i="3"/>
  <c r="I26" i="3"/>
  <c r="L41" i="3"/>
  <c r="K46" i="3"/>
  <c r="M8" i="3"/>
  <c r="M11" i="3"/>
  <c r="K14" i="3"/>
  <c r="M15" i="3"/>
  <c r="K42" i="3"/>
  <c r="L53" i="3"/>
  <c r="L7" i="3"/>
  <c r="L14" i="3"/>
  <c r="K18" i="3"/>
  <c r="G22" i="3"/>
  <c r="G66" i="3" s="1"/>
  <c r="E6" i="1" s="1"/>
  <c r="N25" i="3"/>
  <c r="H30" i="3"/>
  <c r="H39" i="3" s="1"/>
  <c r="L18" i="3"/>
  <c r="J13" i="3"/>
  <c r="L10" i="3"/>
  <c r="J26" i="3"/>
  <c r="L23" i="3"/>
  <c r="M27" i="3"/>
  <c r="K36" i="3"/>
  <c r="M40" i="3"/>
  <c r="L46" i="3"/>
  <c r="L48" i="3"/>
  <c r="H51" i="3"/>
  <c r="L51" i="3" s="1"/>
  <c r="I65" i="3"/>
  <c r="J30" i="3"/>
  <c r="I51" i="3"/>
  <c r="M6" i="3" l="1"/>
  <c r="Q44" i="3"/>
  <c r="R44" i="3" s="1"/>
  <c r="K51" i="3"/>
  <c r="M51" i="3" s="1"/>
  <c r="I39" i="3"/>
  <c r="N6" i="3"/>
  <c r="N64" i="3"/>
  <c r="N32" i="3"/>
  <c r="R9" i="3"/>
  <c r="R17" i="3" s="1"/>
  <c r="R26" i="3" s="1"/>
  <c r="R34" i="3" s="1"/>
  <c r="R43" i="3" s="1"/>
  <c r="R51" i="3" s="1"/>
  <c r="R60" i="3" s="1"/>
  <c r="R22" i="3"/>
  <c r="N51" i="3"/>
  <c r="M57" i="3"/>
  <c r="N57" i="3"/>
  <c r="N12" i="3"/>
  <c r="M12" i="3"/>
  <c r="H66" i="3"/>
  <c r="N45" i="3"/>
  <c r="N47" i="3" s="1"/>
  <c r="L13" i="3"/>
  <c r="M24" i="3"/>
  <c r="K47" i="3"/>
  <c r="N60" i="3"/>
  <c r="N65" i="3" s="1"/>
  <c r="M31" i="3"/>
  <c r="K34" i="3"/>
  <c r="M34" i="3" s="1"/>
  <c r="N31" i="3"/>
  <c r="N34" i="3" s="1"/>
  <c r="L30" i="3"/>
  <c r="K43" i="3"/>
  <c r="Q43" i="3" s="1"/>
  <c r="M28" i="3"/>
  <c r="L64" i="3"/>
  <c r="Q57" i="3"/>
  <c r="R57" i="3" s="1"/>
  <c r="L43" i="3"/>
  <c r="N42" i="3"/>
  <c r="M42" i="3"/>
  <c r="Q35" i="3"/>
  <c r="R35" i="3" s="1"/>
  <c r="N35" i="3"/>
  <c r="M35" i="3"/>
  <c r="K38" i="3"/>
  <c r="N23" i="3"/>
  <c r="N26" i="3" s="1"/>
  <c r="M23" i="3"/>
  <c r="K26" i="3"/>
  <c r="Q23" i="3"/>
  <c r="R23" i="3" s="1"/>
  <c r="R39" i="3" s="1"/>
  <c r="K13" i="3"/>
  <c r="M10" i="3"/>
  <c r="Q10" i="3"/>
  <c r="R10" i="3" s="1"/>
  <c r="N10" i="3"/>
  <c r="M30" i="3"/>
  <c r="Q30" i="3"/>
  <c r="J56" i="3"/>
  <c r="L56" i="3" s="1"/>
  <c r="L55" i="3"/>
  <c r="J65" i="3"/>
  <c r="L65" i="3" s="1"/>
  <c r="L60" i="3"/>
  <c r="Q52" i="3"/>
  <c r="R52" i="3" s="1"/>
  <c r="N52" i="3"/>
  <c r="N55" i="3" s="1"/>
  <c r="M52" i="3"/>
  <c r="K55" i="3"/>
  <c r="K56" i="3" s="1"/>
  <c r="Q51" i="3"/>
  <c r="M64" i="3"/>
  <c r="Q64" i="3"/>
  <c r="J22" i="3"/>
  <c r="K65" i="3"/>
  <c r="Q60" i="3"/>
  <c r="M60" i="3"/>
  <c r="L26" i="3"/>
  <c r="J39" i="3"/>
  <c r="L39" i="3" s="1"/>
  <c r="K17" i="3"/>
  <c r="N14" i="3"/>
  <c r="N17" i="3" s="1"/>
  <c r="M14" i="3"/>
  <c r="K21" i="3"/>
  <c r="N18" i="3"/>
  <c r="N21" i="3" s="1"/>
  <c r="M18" i="3"/>
  <c r="N41" i="3"/>
  <c r="N43" i="3" s="1"/>
  <c r="M41" i="3"/>
  <c r="M47" i="3"/>
  <c r="Q47" i="3"/>
  <c r="N36" i="3"/>
  <c r="M36" i="3"/>
  <c r="Q34" i="3"/>
  <c r="N46" i="3"/>
  <c r="M46" i="3"/>
  <c r="I22" i="3"/>
  <c r="N9" i="3"/>
  <c r="I56" i="3"/>
  <c r="Q9" i="3"/>
  <c r="M9" i="3"/>
  <c r="N38" i="3" l="1"/>
  <c r="N39" i="3" s="1"/>
  <c r="M43" i="3"/>
  <c r="N13" i="3"/>
  <c r="N22" i="3" s="1"/>
  <c r="M56" i="3"/>
  <c r="Q56" i="3"/>
  <c r="Q13" i="3"/>
  <c r="M13" i="3"/>
  <c r="N56" i="3"/>
  <c r="Q17" i="3"/>
  <c r="M17" i="3"/>
  <c r="M26" i="3"/>
  <c r="K39" i="3"/>
  <c r="Q26" i="3"/>
  <c r="K22" i="3"/>
  <c r="I66" i="3"/>
  <c r="Q55" i="3"/>
  <c r="M55" i="3"/>
  <c r="Q21" i="3"/>
  <c r="M21" i="3"/>
  <c r="M65" i="3"/>
  <c r="Q65" i="3"/>
  <c r="L22" i="3"/>
  <c r="J66" i="3"/>
  <c r="L66" i="3" s="1"/>
  <c r="M38" i="3"/>
  <c r="Q38" i="3"/>
  <c r="N66" i="3" l="1"/>
  <c r="Q22" i="3"/>
  <c r="M22" i="3"/>
  <c r="K66" i="3"/>
  <c r="D6" i="1" s="1"/>
  <c r="Q39" i="3"/>
  <c r="M39" i="3"/>
  <c r="F6" i="1" l="1"/>
  <c r="G6" i="1"/>
  <c r="Q66" i="3"/>
  <c r="M66" i="3"/>
</calcChain>
</file>

<file path=xl/sharedStrings.xml><?xml version="1.0" encoding="utf-8"?>
<sst xmlns="http://schemas.openxmlformats.org/spreadsheetml/2006/main" count="177" uniqueCount="86">
  <si>
    <t>NO</t>
  </si>
  <si>
    <t>CABANG</t>
  </si>
  <si>
    <t>TARGET</t>
  </si>
  <si>
    <t>ACTUAL</t>
  </si>
  <si>
    <t>A/T</t>
  </si>
  <si>
    <t>DEVIASI</t>
  </si>
  <si>
    <t>JKT PONDOK KELAPA</t>
  </si>
  <si>
    <t>TANGERANG</t>
  </si>
  <si>
    <t>BOGOR</t>
  </si>
  <si>
    <t>TOTAL DALAM KOTA</t>
  </si>
  <si>
    <t>TOTAL LUAR KOTA</t>
  </si>
  <si>
    <t>KARAWANG</t>
  </si>
  <si>
    <t>BANDUNG</t>
  </si>
  <si>
    <t>CIREBON</t>
  </si>
  <si>
    <t>HOSPITAL LK</t>
  </si>
  <si>
    <t xml:space="preserve">PBAK LK </t>
  </si>
  <si>
    <t>TOTAL NASIONAL</t>
  </si>
  <si>
    <t xml:space="preserve">TOTAL </t>
  </si>
  <si>
    <t>RAYON MARKETING</t>
  </si>
  <si>
    <t>PS</t>
  </si>
  <si>
    <t>TG</t>
  </si>
  <si>
    <t>BG</t>
  </si>
  <si>
    <t>LK-KRW</t>
  </si>
  <si>
    <t>LK-BDG</t>
  </si>
  <si>
    <t>LK-CRB</t>
  </si>
  <si>
    <t>LK-HOSPITAL</t>
  </si>
  <si>
    <t>LK-PBAK</t>
  </si>
  <si>
    <t>بِسْمِ اللَّهِ الرَّحْمَٰنِ الرَّحِيمِ</t>
  </si>
  <si>
    <t xml:space="preserve">PENCAPAIAN SALES PT. ANARA TRISAKTI MEDIKA PERIODE JULI 2026 </t>
  </si>
  <si>
    <t xml:space="preserve">PENCAPAIAN SALES PT. ANARA TRISAKTI MEDIKA PERIODE OKTOBER 2026 </t>
  </si>
  <si>
    <t xml:space="preserve">NO </t>
  </si>
  <si>
    <t>CAB.</t>
  </si>
  <si>
    <t>MENTOR</t>
  </si>
  <si>
    <t xml:space="preserve">SALESMAN </t>
  </si>
  <si>
    <t>LINI BISNIS</t>
  </si>
  <si>
    <t>TARGET OKTOBER</t>
  </si>
  <si>
    <t>PENJUALAN</t>
  </si>
  <si>
    <t>TOTAL</t>
  </si>
  <si>
    <t>PENCAPAIAN</t>
  </si>
  <si>
    <t>DOT</t>
  </si>
  <si>
    <t>Sisa Hari Kerja</t>
  </si>
  <si>
    <t>ALL</t>
  </si>
  <si>
    <t>DAILY</t>
  </si>
  <si>
    <t>Sales Tgl 01-09</t>
  </si>
  <si>
    <t>Sales Tgl 12</t>
  </si>
  <si>
    <t>Daily</t>
  </si>
  <si>
    <t>All</t>
  </si>
  <si>
    <t>Deviasi All</t>
  </si>
  <si>
    <t>Deviasi</t>
  </si>
  <si>
    <t>PD. KELAPA</t>
  </si>
  <si>
    <t>SAHDI</t>
  </si>
  <si>
    <t>ALI YUSUF</t>
  </si>
  <si>
    <t>Home Brand</t>
  </si>
  <si>
    <t>Exclusive</t>
  </si>
  <si>
    <t>Support</t>
  </si>
  <si>
    <t>ANTOK SULISTRIYANTO</t>
  </si>
  <si>
    <t>MUHAMMAD JALALUDIN</t>
  </si>
  <si>
    <t>RENDI SETIAWAN</t>
  </si>
  <si>
    <t>TOTAL TIM SAHDI</t>
  </si>
  <si>
    <t>ANDRI</t>
  </si>
  <si>
    <t>AKHIR MARDIANSYAH</t>
  </si>
  <si>
    <t>YUDI WENDRA</t>
  </si>
  <si>
    <t>FICKY SALEH</t>
  </si>
  <si>
    <t>RIONAR ADI SAPUTRA</t>
  </si>
  <si>
    <t>TOTAL TIM ANDRI</t>
  </si>
  <si>
    <t>SEPRIZAL</t>
  </si>
  <si>
    <t>KAMIL</t>
  </si>
  <si>
    <t>MUHAMMAD IMADUDDIN</t>
  </si>
  <si>
    <t>MUHAMMAD RIDWAN</t>
  </si>
  <si>
    <t>BUDI WASKITO</t>
  </si>
  <si>
    <t>TOTAL TIM SEPRIZAL</t>
  </si>
  <si>
    <t>EKO R</t>
  </si>
  <si>
    <t>OFFICE</t>
  </si>
  <si>
    <t>ARIEF ADITIA</t>
  </si>
  <si>
    <t>TOTAL OFFICE</t>
  </si>
  <si>
    <t>TOTAL TIM CABANG PONDOK KELAPA</t>
  </si>
  <si>
    <t>NOT SALES</t>
  </si>
  <si>
    <t xml:space="preserve">Reason : </t>
  </si>
  <si>
    <t xml:space="preserve">Akhir *Pengajuan Produk baru untuk proses barang e-katalog (RSUD Kebayoran Baru) </t>
  </si>
  <si>
    <t>Imad *ada SJ Cempaka Putih (Klikan EKAT Dana UP)</t>
  </si>
  <si>
    <t>Rio *RSKD Duren Sawit di HOLD*</t>
  </si>
  <si>
    <t>Office *ABM Ada Pending Tip Cleaner 500Pcs</t>
  </si>
  <si>
    <t>MONITORING A/T SALES HARIAN ALL LINI BISNIS</t>
  </si>
  <si>
    <t>MONITORING A/T SALES HARIAN HOMEBRAND</t>
  </si>
  <si>
    <t>MONITORING A/T SALES HARIAN ALL LINI BISNIS - CABANG</t>
  </si>
  <si>
    <t xml:space="preserve">PER TGL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</si>
</sst>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b/>
      <i/>
      <sz val="11"/>
      <name val="Calibri"/>
      <family val="2"/>
    </font>
    <font>
      <b/>
      <sz val="11"/>
      <name val="Calibri"/>
      <family val="2"/>
    </font>
    <font>
      <b/>
      <i/>
      <u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sz val="11.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5" tint="0.79992065187536243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</cellStyleXfs>
  <cellXfs count="154">
    <xf numFmtId="0" fontId="0" fillId="0" borderId="0" xfId="0"/>
    <xf numFmtId="0" fontId="0" fillId="0" borderId="0" xfId="0" applyAlignment="1">
      <alignment horizontal="center"/>
    </xf>
    <xf numFmtId="0" fontId="0" fillId="5" borderId="0" xfId="0" applyFill="1"/>
    <xf numFmtId="0" fontId="0" fillId="6" borderId="0" xfId="0" applyFill="1"/>
    <xf numFmtId="0" fontId="0" fillId="9" borderId="0" xfId="0" applyFill="1"/>
    <xf numFmtId="0" fontId="0" fillId="11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1" borderId="0" xfId="0" applyFill="1" applyAlignment="1">
      <alignment horizontal="center" wrapText="1"/>
    </xf>
    <xf numFmtId="0" fontId="3" fillId="0" borderId="0" xfId="4"/>
    <xf numFmtId="0" fontId="4" fillId="0" borderId="0" xfId="4" applyFont="1" applyAlignment="1">
      <alignment horizontal="left"/>
    </xf>
    <xf numFmtId="164" fontId="0" fillId="0" borderId="0" xfId="2" applyFont="1"/>
    <xf numFmtId="10" fontId="0" fillId="0" borderId="0" xfId="3" applyNumberFormat="1" applyFont="1"/>
    <xf numFmtId="38" fontId="0" fillId="0" borderId="0" xfId="2" applyNumberFormat="1" applyFont="1"/>
    <xf numFmtId="164" fontId="5" fillId="0" borderId="0" xfId="2" applyFont="1"/>
    <xf numFmtId="0" fontId="6" fillId="10" borderId="1" xfId="4" applyFont="1" applyFill="1" applyBorder="1" applyAlignment="1">
      <alignment vertical="center"/>
    </xf>
    <xf numFmtId="0" fontId="6" fillId="10" borderId="2" xfId="4" applyFont="1" applyFill="1" applyBorder="1" applyAlignment="1">
      <alignment vertical="center"/>
    </xf>
    <xf numFmtId="0" fontId="6" fillId="10" borderId="3" xfId="4" applyFont="1" applyFill="1" applyBorder="1" applyAlignment="1">
      <alignment vertical="center"/>
    </xf>
    <xf numFmtId="9" fontId="7" fillId="0" borderId="0" xfId="3" applyFont="1"/>
    <xf numFmtId="10" fontId="7" fillId="0" borderId="0" xfId="3" applyNumberFormat="1" applyFont="1"/>
    <xf numFmtId="38" fontId="7" fillId="0" borderId="0" xfId="2" applyNumberFormat="1" applyFont="1"/>
    <xf numFmtId="0" fontId="5" fillId="0" borderId="0" xfId="4" applyFont="1"/>
    <xf numFmtId="0" fontId="7" fillId="0" borderId="0" xfId="4" applyFont="1"/>
    <xf numFmtId="164" fontId="7" fillId="0" borderId="0" xfId="2" applyFont="1"/>
    <xf numFmtId="166" fontId="7" fillId="0" borderId="0" xfId="5" applyNumberFormat="1" applyFont="1" applyFill="1" applyBorder="1"/>
    <xf numFmtId="10" fontId="7" fillId="0" borderId="0" xfId="3" applyNumberFormat="1" applyFont="1" applyFill="1" applyBorder="1"/>
    <xf numFmtId="38" fontId="7" fillId="0" borderId="0" xfId="2" applyNumberFormat="1" applyFont="1" applyFill="1" applyBorder="1"/>
    <xf numFmtId="164" fontId="8" fillId="0" borderId="0" xfId="2" applyFont="1"/>
    <xf numFmtId="0" fontId="8" fillId="4" borderId="4" xfId="4" applyFont="1" applyFill="1" applyBorder="1" applyAlignment="1">
      <alignment horizontal="center" vertical="center"/>
    </xf>
    <xf numFmtId="166" fontId="5" fillId="13" borderId="12" xfId="4" applyNumberFormat="1" applyFont="1" applyFill="1" applyBorder="1" applyAlignment="1">
      <alignment horizontal="center" vertical="center"/>
    </xf>
    <xf numFmtId="166" fontId="5" fillId="13" borderId="11" xfId="4" applyNumberFormat="1" applyFont="1" applyFill="1" applyBorder="1" applyAlignment="1">
      <alignment horizontal="center" vertical="center"/>
    </xf>
    <xf numFmtId="38" fontId="5" fillId="6" borderId="13" xfId="2" applyNumberFormat="1" applyFont="1" applyFill="1" applyBorder="1" applyAlignment="1">
      <alignment horizontal="center" vertical="center"/>
    </xf>
    <xf numFmtId="0" fontId="8" fillId="4" borderId="14" xfId="4" applyFont="1" applyFill="1" applyBorder="1" applyAlignment="1">
      <alignment horizontal="center" vertical="center"/>
    </xf>
    <xf numFmtId="0" fontId="8" fillId="4" borderId="15" xfId="4" applyFont="1" applyFill="1" applyBorder="1" applyAlignment="1">
      <alignment vertical="center"/>
    </xf>
    <xf numFmtId="164" fontId="8" fillId="4" borderId="17" xfId="2" applyFont="1" applyFill="1" applyBorder="1" applyAlignment="1">
      <alignment horizontal="center" vertical="center"/>
    </xf>
    <xf numFmtId="166" fontId="8" fillId="4" borderId="18" xfId="4" applyNumberFormat="1" applyFont="1" applyFill="1" applyBorder="1" applyAlignment="1">
      <alignment horizontal="center" vertical="center"/>
    </xf>
    <xf numFmtId="166" fontId="8" fillId="4" borderId="19" xfId="4" applyNumberFormat="1" applyFont="1" applyFill="1" applyBorder="1" applyAlignment="1">
      <alignment horizontal="center" vertical="center"/>
    </xf>
    <xf numFmtId="10" fontId="8" fillId="4" borderId="21" xfId="3" applyNumberFormat="1" applyFont="1" applyFill="1" applyBorder="1" applyAlignment="1">
      <alignment horizontal="center" vertical="center"/>
    </xf>
    <xf numFmtId="10" fontId="8" fillId="4" borderId="22" xfId="3" applyNumberFormat="1" applyFont="1" applyFill="1" applyBorder="1" applyAlignment="1">
      <alignment horizontal="center" vertical="center"/>
    </xf>
    <xf numFmtId="38" fontId="8" fillId="4" borderId="23" xfId="2" applyNumberFormat="1" applyFont="1" applyFill="1" applyBorder="1" applyAlignment="1">
      <alignment horizontal="center" vertical="center"/>
    </xf>
    <xf numFmtId="0" fontId="5" fillId="13" borderId="24" xfId="3" applyNumberFormat="1" applyFont="1" applyFill="1" applyBorder="1" applyAlignment="1">
      <alignment horizontal="center" vertical="center"/>
    </xf>
    <xf numFmtId="38" fontId="5" fillId="13" borderId="25" xfId="2" applyNumberFormat="1" applyFont="1" applyFill="1" applyBorder="1" applyAlignment="1">
      <alignment horizontal="center" vertical="center"/>
    </xf>
    <xf numFmtId="38" fontId="5" fillId="6" borderId="26" xfId="2" applyNumberFormat="1" applyFont="1" applyFill="1" applyBorder="1" applyAlignment="1">
      <alignment horizontal="center" vertical="center"/>
    </xf>
    <xf numFmtId="0" fontId="8" fillId="0" borderId="27" xfId="4" applyFont="1" applyBorder="1" applyAlignment="1">
      <alignment horizontal="center" vertical="center"/>
    </xf>
    <xf numFmtId="0" fontId="8" fillId="0" borderId="29" xfId="4" applyFont="1" applyBorder="1" applyAlignment="1">
      <alignment horizontal="left"/>
    </xf>
    <xf numFmtId="164" fontId="10" fillId="0" borderId="30" xfId="2" applyFont="1" applyFill="1" applyBorder="1" applyAlignment="1">
      <alignment horizontal="left"/>
    </xf>
    <xf numFmtId="167" fontId="0" fillId="0" borderId="30" xfId="1" applyNumberFormat="1" applyFont="1" applyFill="1" applyBorder="1" applyAlignment="1">
      <alignment horizontal="center"/>
    </xf>
    <xf numFmtId="166" fontId="7" fillId="15" borderId="31" xfId="4" applyNumberFormat="1" applyFont="1" applyFill="1" applyBorder="1"/>
    <xf numFmtId="166" fontId="8" fillId="16" borderId="32" xfId="4" applyNumberFormat="1" applyFont="1" applyFill="1" applyBorder="1"/>
    <xf numFmtId="10" fontId="8" fillId="15" borderId="29" xfId="3" applyNumberFormat="1" applyFont="1" applyFill="1" applyBorder="1"/>
    <xf numFmtId="10" fontId="8" fillId="16" borderId="33" xfId="3" applyNumberFormat="1" applyFont="1" applyFill="1" applyBorder="1"/>
    <xf numFmtId="38" fontId="8" fillId="8" borderId="31" xfId="2" applyNumberFormat="1" applyFont="1" applyFill="1" applyBorder="1"/>
    <xf numFmtId="166" fontId="8" fillId="17" borderId="31" xfId="2" applyNumberFormat="1" applyFont="1" applyFill="1" applyBorder="1" applyAlignment="1">
      <alignment horizontal="left"/>
    </xf>
    <xf numFmtId="164" fontId="0" fillId="0" borderId="34" xfId="2" applyFont="1" applyBorder="1"/>
    <xf numFmtId="38" fontId="0" fillId="0" borderId="31" xfId="2" applyNumberFormat="1" applyFont="1" applyFill="1" applyBorder="1"/>
    <xf numFmtId="38" fontId="3" fillId="0" borderId="35" xfId="4" applyNumberFormat="1" applyBorder="1"/>
    <xf numFmtId="164" fontId="7" fillId="0" borderId="30" xfId="2" applyFont="1" applyFill="1" applyBorder="1" applyAlignment="1">
      <alignment horizontal="left"/>
    </xf>
    <xf numFmtId="167" fontId="0" fillId="0" borderId="36" xfId="1" applyNumberFormat="1" applyFont="1" applyFill="1" applyBorder="1" applyAlignment="1">
      <alignment horizontal="center"/>
    </xf>
    <xf numFmtId="0" fontId="8" fillId="0" borderId="37" xfId="4" applyFont="1" applyBorder="1" applyAlignment="1">
      <alignment horizontal="left"/>
    </xf>
    <xf numFmtId="164" fontId="10" fillId="0" borderId="38" xfId="2" applyFont="1" applyFill="1" applyBorder="1" applyAlignment="1">
      <alignment horizontal="left"/>
    </xf>
    <xf numFmtId="164" fontId="7" fillId="0" borderId="38" xfId="2" applyFont="1" applyFill="1" applyBorder="1" applyAlignment="1">
      <alignment horizontal="left"/>
    </xf>
    <xf numFmtId="167" fontId="0" fillId="0" borderId="39" xfId="1" applyNumberFormat="1" applyFont="1" applyFill="1" applyBorder="1" applyAlignment="1">
      <alignment horizontal="center"/>
    </xf>
    <xf numFmtId="166" fontId="7" fillId="15" borderId="40" xfId="4" applyNumberFormat="1" applyFont="1" applyFill="1" applyBorder="1"/>
    <xf numFmtId="166" fontId="8" fillId="16" borderId="41" xfId="4" applyNumberFormat="1" applyFont="1" applyFill="1" applyBorder="1"/>
    <xf numFmtId="0" fontId="8" fillId="2" borderId="1" xfId="4" applyFont="1" applyFill="1" applyBorder="1" applyAlignment="1">
      <alignment horizontal="center" vertical="center"/>
    </xf>
    <xf numFmtId="0" fontId="8" fillId="2" borderId="42" xfId="4" applyFont="1" applyFill="1" applyBorder="1" applyAlignment="1">
      <alignment horizontal="left"/>
    </xf>
    <xf numFmtId="164" fontId="8" fillId="2" borderId="43" xfId="2" applyFont="1" applyFill="1" applyBorder="1" applyAlignment="1">
      <alignment horizontal="left"/>
    </xf>
    <xf numFmtId="164" fontId="11" fillId="2" borderId="43" xfId="2" applyFont="1" applyFill="1" applyBorder="1" applyAlignment="1">
      <alignment horizontal="left"/>
    </xf>
    <xf numFmtId="164" fontId="8" fillId="2" borderId="44" xfId="2" applyFont="1" applyFill="1" applyBorder="1" applyAlignment="1">
      <alignment horizontal="left"/>
    </xf>
    <xf numFmtId="166" fontId="8" fillId="2" borderId="3" xfId="4" applyNumberFormat="1" applyFont="1" applyFill="1" applyBorder="1"/>
    <xf numFmtId="10" fontId="8" fillId="2" borderId="42" xfId="3" applyNumberFormat="1" applyFont="1" applyFill="1" applyBorder="1"/>
    <xf numFmtId="10" fontId="8" fillId="2" borderId="2" xfId="3" applyNumberFormat="1" applyFont="1" applyFill="1" applyBorder="1"/>
    <xf numFmtId="38" fontId="8" fillId="2" borderId="44" xfId="2" applyNumberFormat="1" applyFont="1" applyFill="1" applyBorder="1"/>
    <xf numFmtId="38" fontId="11" fillId="17" borderId="44" xfId="2" applyNumberFormat="1" applyFont="1" applyFill="1" applyBorder="1"/>
    <xf numFmtId="41" fontId="5" fillId="3" borderId="45" xfId="3" applyNumberFormat="1" applyFont="1" applyFill="1" applyBorder="1"/>
    <xf numFmtId="38" fontId="5" fillId="3" borderId="44" xfId="2" applyNumberFormat="1" applyFont="1" applyFill="1" applyBorder="1"/>
    <xf numFmtId="38" fontId="5" fillId="3" borderId="46" xfId="2" applyNumberFormat="1" applyFont="1" applyFill="1" applyBorder="1"/>
    <xf numFmtId="38" fontId="0" fillId="0" borderId="47" xfId="2" applyNumberFormat="1" applyFont="1" applyBorder="1"/>
    <xf numFmtId="164" fontId="11" fillId="2" borderId="44" xfId="2" applyFont="1" applyFill="1" applyBorder="1" applyAlignment="1">
      <alignment horizontal="left"/>
    </xf>
    <xf numFmtId="164" fontId="11" fillId="2" borderId="3" xfId="2" applyFont="1" applyFill="1" applyBorder="1" applyAlignment="1">
      <alignment horizontal="left"/>
    </xf>
    <xf numFmtId="0" fontId="8" fillId="12" borderId="1" xfId="4" applyFont="1" applyFill="1" applyBorder="1" applyAlignment="1">
      <alignment horizontal="center" vertical="center"/>
    </xf>
    <xf numFmtId="0" fontId="9" fillId="4" borderId="1" xfId="4" applyFont="1" applyFill="1" applyBorder="1" applyAlignment="1">
      <alignment vertical="center"/>
    </xf>
    <xf numFmtId="0" fontId="12" fillId="4" borderId="2" xfId="4" applyFont="1" applyFill="1" applyBorder="1" applyAlignment="1">
      <alignment vertical="center"/>
    </xf>
    <xf numFmtId="0" fontId="9" fillId="4" borderId="2" xfId="4" applyFont="1" applyFill="1" applyBorder="1" applyAlignment="1">
      <alignment vertical="center"/>
    </xf>
    <xf numFmtId="164" fontId="8" fillId="4" borderId="43" xfId="2" applyFont="1" applyFill="1" applyBorder="1" applyAlignment="1">
      <alignment horizontal="left"/>
    </xf>
    <xf numFmtId="164" fontId="11" fillId="4" borderId="43" xfId="2" applyFont="1" applyFill="1" applyBorder="1" applyAlignment="1">
      <alignment horizontal="left"/>
    </xf>
    <xf numFmtId="164" fontId="11" fillId="4" borderId="44" xfId="2" applyFont="1" applyFill="1" applyBorder="1" applyAlignment="1">
      <alignment horizontal="left"/>
    </xf>
    <xf numFmtId="164" fontId="11" fillId="4" borderId="3" xfId="2" applyFont="1" applyFill="1" applyBorder="1" applyAlignment="1">
      <alignment horizontal="left"/>
    </xf>
    <xf numFmtId="10" fontId="8" fillId="4" borderId="42" xfId="3" applyNumberFormat="1" applyFont="1" applyFill="1" applyBorder="1"/>
    <xf numFmtId="38" fontId="8" fillId="4" borderId="44" xfId="2" applyNumberFormat="1" applyFont="1" applyFill="1" applyBorder="1"/>
    <xf numFmtId="0" fontId="8" fillId="0" borderId="48" xfId="4" applyFont="1" applyBorder="1" applyAlignment="1">
      <alignment horizontal="center" vertical="center"/>
    </xf>
    <xf numFmtId="0" fontId="8" fillId="0" borderId="34" xfId="4" applyFont="1" applyBorder="1" applyAlignment="1">
      <alignment horizontal="left"/>
    </xf>
    <xf numFmtId="38" fontId="0" fillId="0" borderId="31" xfId="2" applyNumberFormat="1" applyFont="1" applyBorder="1"/>
    <xf numFmtId="0" fontId="8" fillId="0" borderId="8" xfId="4" applyFont="1" applyBorder="1" applyAlignment="1">
      <alignment horizontal="left" vertical="center"/>
    </xf>
    <xf numFmtId="0" fontId="8" fillId="0" borderId="29" xfId="4" applyFont="1" applyBorder="1" applyAlignment="1">
      <alignment horizontal="left" vertical="center"/>
    </xf>
    <xf numFmtId="38" fontId="0" fillId="0" borderId="47" xfId="2" applyNumberFormat="1" applyFont="1" applyFill="1" applyBorder="1"/>
    <xf numFmtId="0" fontId="8" fillId="0" borderId="49" xfId="4" applyFont="1" applyBorder="1" applyAlignment="1">
      <alignment horizontal="center" vertical="center"/>
    </xf>
    <xf numFmtId="0" fontId="8" fillId="0" borderId="35" xfId="4" applyFont="1" applyBorder="1" applyAlignment="1">
      <alignment horizontal="center" vertical="center"/>
    </xf>
    <xf numFmtId="166" fontId="8" fillId="17" borderId="40" xfId="2" applyNumberFormat="1" applyFont="1" applyFill="1" applyBorder="1" applyAlignment="1">
      <alignment horizontal="left"/>
    </xf>
    <xf numFmtId="164" fontId="0" fillId="0" borderId="37" xfId="2" applyFont="1" applyBorder="1"/>
    <xf numFmtId="38" fontId="0" fillId="0" borderId="40" xfId="2" applyNumberFormat="1" applyFont="1" applyFill="1" applyBorder="1"/>
    <xf numFmtId="38" fontId="3" fillId="0" borderId="28" xfId="4" applyNumberFormat="1" applyBorder="1"/>
    <xf numFmtId="38" fontId="0" fillId="0" borderId="25" xfId="2" applyNumberFormat="1" applyFont="1" applyBorder="1"/>
    <xf numFmtId="38" fontId="0" fillId="0" borderId="25" xfId="2" applyNumberFormat="1" applyFont="1" applyFill="1" applyBorder="1"/>
    <xf numFmtId="164" fontId="8" fillId="4" borderId="44" xfId="2" applyFont="1" applyFill="1" applyBorder="1" applyAlignment="1">
      <alignment horizontal="left"/>
    </xf>
    <xf numFmtId="38" fontId="0" fillId="0" borderId="40" xfId="2" applyNumberFormat="1" applyFont="1" applyBorder="1"/>
    <xf numFmtId="10" fontId="8" fillId="4" borderId="8" xfId="3" applyNumberFormat="1" applyFont="1" applyFill="1" applyBorder="1"/>
    <xf numFmtId="164" fontId="13" fillId="6" borderId="42" xfId="2" applyFont="1" applyFill="1" applyBorder="1" applyAlignment="1">
      <alignment horizontal="center" vertical="center"/>
    </xf>
    <xf numFmtId="164" fontId="13" fillId="6" borderId="43" xfId="2" applyFont="1" applyFill="1" applyBorder="1" applyAlignment="1">
      <alignment horizontal="center" vertical="center"/>
    </xf>
    <xf numFmtId="164" fontId="13" fillId="6" borderId="3" xfId="2" applyFont="1" applyFill="1" applyBorder="1" applyAlignment="1">
      <alignment horizontal="center" vertical="center"/>
    </xf>
    <xf numFmtId="10" fontId="14" fillId="6" borderId="42" xfId="3" applyNumberFormat="1" applyFont="1" applyFill="1" applyBorder="1" applyAlignment="1">
      <alignment vertical="center"/>
    </xf>
    <xf numFmtId="10" fontId="14" fillId="6" borderId="2" xfId="3" applyNumberFormat="1" applyFont="1" applyFill="1" applyBorder="1" applyAlignment="1">
      <alignment vertical="center"/>
    </xf>
    <xf numFmtId="38" fontId="13" fillId="6" borderId="44" xfId="2" applyNumberFormat="1" applyFont="1" applyFill="1" applyBorder="1" applyAlignment="1">
      <alignment vertical="center"/>
    </xf>
    <xf numFmtId="38" fontId="9" fillId="18" borderId="44" xfId="2" applyNumberFormat="1" applyFont="1" applyFill="1" applyBorder="1"/>
    <xf numFmtId="41" fontId="5" fillId="17" borderId="45" xfId="3" applyNumberFormat="1" applyFont="1" applyFill="1" applyBorder="1"/>
    <xf numFmtId="38" fontId="5" fillId="17" borderId="44" xfId="2" applyNumberFormat="1" applyFont="1" applyFill="1" applyBorder="1"/>
    <xf numFmtId="38" fontId="5" fillId="19" borderId="46" xfId="2" applyNumberFormat="1" applyFont="1" applyFill="1" applyBorder="1"/>
    <xf numFmtId="0" fontId="4" fillId="20" borderId="1" xfId="4" applyFont="1" applyFill="1" applyBorder="1"/>
    <xf numFmtId="0" fontId="3" fillId="20" borderId="3" xfId="4" applyFill="1" applyBorder="1"/>
    <xf numFmtId="0" fontId="4" fillId="7" borderId="1" xfId="4" applyFont="1" applyFill="1" applyBorder="1"/>
    <xf numFmtId="0" fontId="3" fillId="7" borderId="3" xfId="4" applyFill="1" applyBorder="1"/>
    <xf numFmtId="41" fontId="3" fillId="0" borderId="0" xfId="4" applyNumberFormat="1"/>
    <xf numFmtId="0" fontId="4" fillId="0" borderId="0" xfId="4" applyFont="1"/>
    <xf numFmtId="0" fontId="15" fillId="0" borderId="0" xfId="4" applyFont="1"/>
    <xf numFmtId="166" fontId="3" fillId="0" borderId="0" xfId="4" applyNumberFormat="1"/>
    <xf numFmtId="164" fontId="0" fillId="0" borderId="0" xfId="0" applyNumberFormat="1"/>
    <xf numFmtId="9" fontId="0" fillId="0" borderId="0" xfId="3" applyFont="1"/>
    <xf numFmtId="3" fontId="2" fillId="0" borderId="0" xfId="0" applyNumberFormat="1" applyFont="1"/>
    <xf numFmtId="166" fontId="0" fillId="0" borderId="0" xfId="1" applyNumberFormat="1" applyFont="1"/>
    <xf numFmtId="0" fontId="0" fillId="5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3" fillId="6" borderId="1" xfId="4" applyFont="1" applyFill="1" applyBorder="1" applyAlignment="1">
      <alignment horizontal="center" vertical="center"/>
    </xf>
    <xf numFmtId="0" fontId="13" fillId="6" borderId="2" xfId="4" applyFont="1" applyFill="1" applyBorder="1" applyAlignment="1">
      <alignment horizontal="center" vertical="center"/>
    </xf>
    <xf numFmtId="0" fontId="13" fillId="6" borderId="42" xfId="4" applyFont="1" applyFill="1" applyBorder="1" applyAlignment="1">
      <alignment horizontal="center" vertical="center"/>
    </xf>
    <xf numFmtId="164" fontId="8" fillId="4" borderId="11" xfId="2" applyFont="1" applyFill="1" applyBorder="1" applyAlignment="1">
      <alignment horizontal="center" vertical="center"/>
    </xf>
    <xf numFmtId="164" fontId="8" fillId="4" borderId="20" xfId="2" applyFont="1" applyFill="1" applyBorder="1" applyAlignment="1">
      <alignment horizontal="center" vertical="center"/>
    </xf>
    <xf numFmtId="166" fontId="8" fillId="4" borderId="12" xfId="4" applyNumberFormat="1" applyFont="1" applyFill="1" applyBorder="1" applyAlignment="1">
      <alignment horizontal="center" vertical="center"/>
    </xf>
    <xf numFmtId="166" fontId="8" fillId="4" borderId="11" xfId="4" applyNumberFormat="1" applyFont="1" applyFill="1" applyBorder="1" applyAlignment="1">
      <alignment horizontal="center" vertical="center"/>
    </xf>
    <xf numFmtId="166" fontId="8" fillId="6" borderId="4" xfId="4" applyNumberFormat="1" applyFont="1" applyFill="1" applyBorder="1" applyAlignment="1">
      <alignment horizontal="center" vertical="center"/>
    </xf>
    <xf numFmtId="166" fontId="8" fillId="6" borderId="15" xfId="4" applyNumberFormat="1" applyFont="1" applyFill="1" applyBorder="1" applyAlignment="1">
      <alignment horizontal="center" vertical="center"/>
    </xf>
    <xf numFmtId="0" fontId="9" fillId="14" borderId="4" xfId="4" applyFont="1" applyFill="1" applyBorder="1" applyAlignment="1">
      <alignment horizontal="center" vertical="center" textRotation="255" wrapText="1"/>
    </xf>
    <xf numFmtId="0" fontId="9" fillId="14" borderId="28" xfId="4" applyFont="1" applyFill="1" applyBorder="1" applyAlignment="1">
      <alignment horizontal="center" vertical="center" textRotation="255" wrapText="1"/>
    </xf>
    <xf numFmtId="0" fontId="9" fillId="14" borderId="28" xfId="4" applyFont="1" applyFill="1" applyBorder="1" applyAlignment="1">
      <alignment horizontal="center" vertical="center"/>
    </xf>
    <xf numFmtId="0" fontId="9" fillId="14" borderId="15" xfId="4" applyFont="1" applyFill="1" applyBorder="1" applyAlignment="1">
      <alignment horizontal="center" vertical="center"/>
    </xf>
    <xf numFmtId="0" fontId="8" fillId="4" borderId="4" xfId="4" applyFont="1" applyFill="1" applyBorder="1" applyAlignment="1">
      <alignment horizontal="center" vertical="center"/>
    </xf>
    <xf numFmtId="0" fontId="8" fillId="4" borderId="15" xfId="4" applyFont="1" applyFill="1" applyBorder="1" applyAlignment="1">
      <alignment horizontal="center" vertical="center"/>
    </xf>
    <xf numFmtId="0" fontId="8" fillId="4" borderId="5" xfId="4" applyFont="1" applyFill="1" applyBorder="1" applyAlignment="1">
      <alignment horizontal="center" vertical="center"/>
    </xf>
    <xf numFmtId="0" fontId="8" fillId="4" borderId="16" xfId="4" applyFont="1" applyFill="1" applyBorder="1" applyAlignment="1">
      <alignment horizontal="center" vertical="center"/>
    </xf>
    <xf numFmtId="164" fontId="8" fillId="4" borderId="6" xfId="2" applyFont="1" applyFill="1" applyBorder="1" applyAlignment="1">
      <alignment horizontal="center" vertical="center"/>
    </xf>
    <xf numFmtId="164" fontId="8" fillId="4" borderId="17" xfId="2" applyFont="1" applyFill="1" applyBorder="1" applyAlignment="1">
      <alignment horizontal="center" vertical="center"/>
    </xf>
    <xf numFmtId="164" fontId="8" fillId="4" borderId="7" xfId="2" applyFont="1" applyFill="1" applyBorder="1" applyAlignment="1">
      <alignment horizontal="center" vertical="center"/>
    </xf>
    <xf numFmtId="164" fontId="8" fillId="4" borderId="8" xfId="2" applyFont="1" applyFill="1" applyBorder="1" applyAlignment="1">
      <alignment horizontal="center" vertical="center"/>
    </xf>
    <xf numFmtId="166" fontId="8" fillId="4" borderId="9" xfId="4" applyNumberFormat="1" applyFont="1" applyFill="1" applyBorder="1" applyAlignment="1">
      <alignment horizontal="center" vertical="center"/>
    </xf>
    <xf numFmtId="166" fontId="8" fillId="4" borderId="10" xfId="4" applyNumberFormat="1" applyFont="1" applyFill="1" applyBorder="1" applyAlignment="1">
      <alignment horizontal="center" vertical="center"/>
    </xf>
  </cellXfs>
  <cellStyles count="6">
    <cellStyle name="Comma" xfId="1" builtinId="3"/>
    <cellStyle name="Comma [0]" xfId="2" builtinId="6"/>
    <cellStyle name="Comma 2" xfId="5" xr:uid="{00000000-0005-0000-0000-000002000000}"/>
    <cellStyle name="Normal" xfId="0" builtinId="0"/>
    <cellStyle name="Normal 11" xfId="4" xr:uid="{00000000-0005-0000-0000-000004000000}"/>
    <cellStyle name="Percent" xfId="3" builtinId="5"/>
  </cellStyles>
  <dxfs count="16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247650</xdr:colOff>
      <xdr:row>0</xdr:row>
      <xdr:rowOff>95250</xdr:rowOff>
    </xdr:from>
    <xdr:ext cx="429849" cy="5810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7600950" y="95250"/>
          <a:ext cx="429849" cy="581025"/>
        </a:xfrm>
        <a:prstGeom prst="rect">
          <a:avLst/>
        </a:prstGeom>
      </xdr:spPr>
    </xdr:pic>
    <xdr:clientData/>
  </xdr:oneCellAnchor>
  <xdr:oneCellAnchor>
    <xdr:from>
      <xdr:col>11</xdr:col>
      <xdr:colOff>447675</xdr:colOff>
      <xdr:row>0</xdr:row>
      <xdr:rowOff>57150</xdr:rowOff>
    </xdr:from>
    <xdr:ext cx="429849" cy="58102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9881235" y="57150"/>
          <a:ext cx="429849" cy="581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wnloads/KUNJUNGAN%20TGL%2013%20OKT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i%20Purwanti/Downloads/Anara%20Information%20System%20(7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HARIAN"/>
      <sheetName val="LINI BISNIS"/>
      <sheetName val="PARETO"/>
      <sheetName val="RESUME"/>
      <sheetName val="RELASI BELUM BELI SEPT"/>
      <sheetName val="RELASI BELUM BELI AGUSTUS"/>
      <sheetName val="RELASI BELUM BELI JULI"/>
      <sheetName val="HARUN"/>
      <sheetName val="PANDJI"/>
      <sheetName val="UGI"/>
      <sheetName val="KAT PRO"/>
      <sheetName val="Sheet2"/>
    </sheetNames>
    <sheetDataSet>
      <sheetData sheetId="0">
        <row r="16">
          <cell r="F16">
            <v>410828635</v>
          </cell>
          <cell r="H16">
            <v>2390846936.727253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3"/>
      <sheetName val="Sheet4"/>
      <sheetName val="Sheet1"/>
    </sheetNames>
    <sheetDataSet>
      <sheetData sheetId="0" refreshError="1">
        <row r="5">
          <cell r="A5" t="str">
            <v>AKHIR MARDIANSYAH</v>
          </cell>
          <cell r="B5">
            <v>19251766</v>
          </cell>
          <cell r="C5">
            <v>42872856</v>
          </cell>
          <cell r="D5">
            <v>7937068</v>
          </cell>
        </row>
        <row r="6">
          <cell r="A6" t="str">
            <v>ALI YUSUF</v>
          </cell>
          <cell r="B6">
            <v>24324452</v>
          </cell>
          <cell r="C6">
            <v>55982905</v>
          </cell>
          <cell r="D6">
            <v>44518898</v>
          </cell>
        </row>
        <row r="7">
          <cell r="A7" t="str">
            <v>ANDREANSAH NOPIANDI</v>
          </cell>
          <cell r="B7">
            <v>45927557</v>
          </cell>
          <cell r="C7">
            <v>32589121</v>
          </cell>
          <cell r="D7">
            <v>78739924</v>
          </cell>
        </row>
        <row r="8">
          <cell r="A8" t="str">
            <v>ANTOK SULISTRIYANTO</v>
          </cell>
          <cell r="B8">
            <v>11861091</v>
          </cell>
          <cell r="C8">
            <v>67868460</v>
          </cell>
          <cell r="D8">
            <v>44521668</v>
          </cell>
        </row>
        <row r="9">
          <cell r="A9" t="str">
            <v>ARIEF ADITIA</v>
          </cell>
          <cell r="B9">
            <v>9149945</v>
          </cell>
          <cell r="C9">
            <v>8367979</v>
          </cell>
          <cell r="D9">
            <v>42825420</v>
          </cell>
        </row>
        <row r="10">
          <cell r="A10" t="str">
            <v>BUDI SUSANTO</v>
          </cell>
          <cell r="C10">
            <v>441156</v>
          </cell>
        </row>
        <row r="11">
          <cell r="A11" t="str">
            <v>BUDI WASKITO</v>
          </cell>
          <cell r="B11">
            <v>7073217</v>
          </cell>
          <cell r="C11">
            <v>11640461</v>
          </cell>
          <cell r="D11">
            <v>660915</v>
          </cell>
        </row>
        <row r="12">
          <cell r="A12" t="str">
            <v>CINTIA ALUI</v>
          </cell>
          <cell r="B12">
            <v>22283176</v>
          </cell>
          <cell r="C12">
            <v>35355585</v>
          </cell>
          <cell r="D12">
            <v>50107410</v>
          </cell>
        </row>
        <row r="13">
          <cell r="A13" t="str">
            <v>DEDEN SETIAWAN</v>
          </cell>
          <cell r="B13">
            <v>19630027</v>
          </cell>
          <cell r="C13">
            <v>21069163</v>
          </cell>
          <cell r="D13">
            <v>5876875</v>
          </cell>
        </row>
        <row r="14">
          <cell r="A14" t="str">
            <v>FICKY SALEH</v>
          </cell>
          <cell r="B14">
            <v>44676802</v>
          </cell>
          <cell r="C14">
            <v>21555523</v>
          </cell>
          <cell r="D14">
            <v>26169414</v>
          </cell>
        </row>
        <row r="15">
          <cell r="A15" t="str">
            <v>HARUN ASHARI</v>
          </cell>
          <cell r="B15">
            <v>10069850</v>
          </cell>
          <cell r="C15">
            <v>38420097</v>
          </cell>
          <cell r="D15">
            <v>5853298</v>
          </cell>
        </row>
        <row r="16">
          <cell r="A16" t="str">
            <v>KAMIL</v>
          </cell>
          <cell r="B16">
            <v>50656042</v>
          </cell>
          <cell r="C16">
            <v>53861851</v>
          </cell>
          <cell r="D16">
            <v>19574174</v>
          </cell>
        </row>
        <row r="17">
          <cell r="A17" t="str">
            <v>MUHAMMAD DZULPIKRI</v>
          </cell>
          <cell r="B17">
            <v>2618000</v>
          </cell>
          <cell r="C17">
            <v>95605117</v>
          </cell>
        </row>
        <row r="18">
          <cell r="A18" t="str">
            <v>MUHAMMAD IMADUDDIN</v>
          </cell>
          <cell r="B18">
            <v>15985959</v>
          </cell>
          <cell r="C18">
            <v>18219706</v>
          </cell>
          <cell r="D18">
            <v>21571954</v>
          </cell>
        </row>
        <row r="19">
          <cell r="A19" t="str">
            <v>MUHAMMAD JALALUDIN</v>
          </cell>
          <cell r="B19">
            <v>8027705</v>
          </cell>
          <cell r="C19">
            <v>47933095</v>
          </cell>
          <cell r="D19">
            <v>2093703</v>
          </cell>
        </row>
        <row r="20">
          <cell r="A20" t="str">
            <v>MUHAMMAD RIDWAN</v>
          </cell>
          <cell r="B20">
            <v>9399580</v>
          </cell>
          <cell r="C20">
            <v>20264109</v>
          </cell>
          <cell r="D20">
            <v>14335617</v>
          </cell>
        </row>
        <row r="21">
          <cell r="A21" t="str">
            <v>MUHAMMAD UMARELLAH</v>
          </cell>
          <cell r="B21">
            <v>73135544</v>
          </cell>
          <cell r="C21">
            <v>83499615</v>
          </cell>
          <cell r="D21">
            <v>53415862</v>
          </cell>
        </row>
        <row r="22">
          <cell r="A22" t="str">
            <v>MUHAMMAD ZAENAL ABIDIN</v>
          </cell>
          <cell r="B22">
            <v>60020782</v>
          </cell>
          <cell r="C22">
            <v>33188279</v>
          </cell>
          <cell r="D22">
            <v>49834877</v>
          </cell>
        </row>
        <row r="23">
          <cell r="A23" t="str">
            <v>NURIFIN</v>
          </cell>
          <cell r="B23">
            <v>70383001</v>
          </cell>
          <cell r="C23">
            <v>58643578</v>
          </cell>
          <cell r="D23">
            <v>105491329</v>
          </cell>
        </row>
        <row r="24">
          <cell r="A24" t="str">
            <v>OFFICE</v>
          </cell>
          <cell r="C24">
            <v>13710280</v>
          </cell>
          <cell r="D24">
            <v>4074000</v>
          </cell>
        </row>
        <row r="25">
          <cell r="A25" t="str">
            <v>PANDJI KUSUMAH</v>
          </cell>
          <cell r="B25">
            <v>4198900</v>
          </cell>
          <cell r="C25">
            <v>20903111</v>
          </cell>
        </row>
        <row r="26">
          <cell r="A26" t="str">
            <v>RENDI SETIAWAN</v>
          </cell>
          <cell r="B26">
            <v>21832592</v>
          </cell>
          <cell r="C26">
            <v>15055425</v>
          </cell>
          <cell r="D26">
            <v>4192858</v>
          </cell>
        </row>
        <row r="27">
          <cell r="A27" t="str">
            <v>RIONAR ADI SAPUTRA</v>
          </cell>
          <cell r="B27">
            <v>18840785</v>
          </cell>
          <cell r="C27">
            <v>7656637</v>
          </cell>
          <cell r="D27">
            <v>5697355</v>
          </cell>
        </row>
        <row r="28">
          <cell r="A28" t="str">
            <v>SURANTO</v>
          </cell>
          <cell r="B28">
            <v>8190067</v>
          </cell>
          <cell r="C28">
            <v>30076745</v>
          </cell>
          <cell r="D28">
            <v>8494274</v>
          </cell>
        </row>
        <row r="29">
          <cell r="A29" t="str">
            <v>SUSI SUSANTI</v>
          </cell>
          <cell r="B29">
            <v>13076018</v>
          </cell>
          <cell r="C29">
            <v>17479130</v>
          </cell>
          <cell r="D29">
            <v>14222620</v>
          </cell>
        </row>
        <row r="30">
          <cell r="A30" t="str">
            <v>UGI SEPTIANA</v>
          </cell>
          <cell r="B30">
            <v>14129450</v>
          </cell>
          <cell r="C30">
            <v>9705304</v>
          </cell>
          <cell r="D30">
            <v>988400</v>
          </cell>
        </row>
        <row r="31">
          <cell r="A31" t="str">
            <v>YUDI WENDRA</v>
          </cell>
          <cell r="B31">
            <v>25237410</v>
          </cell>
          <cell r="C31">
            <v>25717915</v>
          </cell>
          <cell r="D31">
            <v>51735998</v>
          </cell>
        </row>
      </sheetData>
      <sheetData sheetId="1" refreshError="1">
        <row r="5">
          <cell r="A5" t="str">
            <v>AKHIR MARDIANSYAH</v>
          </cell>
          <cell r="C5">
            <v>1442009</v>
          </cell>
          <cell r="D5">
            <v>742555</v>
          </cell>
        </row>
        <row r="6">
          <cell r="A6" t="str">
            <v>ALI YUSUF</v>
          </cell>
          <cell r="B6">
            <v>8035155</v>
          </cell>
          <cell r="C6">
            <v>3755592</v>
          </cell>
          <cell r="D6">
            <v>3566989</v>
          </cell>
        </row>
        <row r="7">
          <cell r="A7" t="str">
            <v>ANDREANSAH NOPIANDI</v>
          </cell>
          <cell r="B7">
            <v>1211690</v>
          </cell>
          <cell r="C7">
            <v>8017230</v>
          </cell>
          <cell r="D7">
            <v>5811349</v>
          </cell>
        </row>
        <row r="8">
          <cell r="A8" t="str">
            <v>ANTOK SULISTRIYANTO</v>
          </cell>
          <cell r="B8">
            <v>9384100</v>
          </cell>
          <cell r="C8">
            <v>4729989</v>
          </cell>
          <cell r="D8">
            <v>2732554</v>
          </cell>
        </row>
        <row r="9">
          <cell r="A9" t="str">
            <v>ARIEF ADITIA</v>
          </cell>
          <cell r="B9">
            <v>4483456</v>
          </cell>
          <cell r="C9">
            <v>16439552</v>
          </cell>
          <cell r="D9">
            <v>11381930</v>
          </cell>
        </row>
        <row r="10">
          <cell r="A10" t="str">
            <v>BUDI WASKITO</v>
          </cell>
          <cell r="B10">
            <v>3108850</v>
          </cell>
          <cell r="C10">
            <v>2458818</v>
          </cell>
          <cell r="D10">
            <v>5725175</v>
          </cell>
        </row>
        <row r="11">
          <cell r="A11" t="str">
            <v>CINTIA ALUI</v>
          </cell>
          <cell r="B11">
            <v>226800</v>
          </cell>
          <cell r="C11">
            <v>4117805</v>
          </cell>
          <cell r="D11">
            <v>3737771</v>
          </cell>
        </row>
        <row r="12">
          <cell r="A12" t="str">
            <v>DEDEN SETIAWAN</v>
          </cell>
          <cell r="B12">
            <v>1218888</v>
          </cell>
          <cell r="C12">
            <v>169229</v>
          </cell>
          <cell r="D12">
            <v>435420</v>
          </cell>
        </row>
        <row r="13">
          <cell r="A13" t="str">
            <v>FICKY SALEH</v>
          </cell>
          <cell r="B13">
            <v>29144557</v>
          </cell>
          <cell r="C13">
            <v>522048</v>
          </cell>
          <cell r="D13">
            <v>1529924</v>
          </cell>
        </row>
        <row r="14">
          <cell r="A14" t="str">
            <v>HARUN ASHARI</v>
          </cell>
          <cell r="C14">
            <v>9450132</v>
          </cell>
        </row>
        <row r="15">
          <cell r="A15" t="str">
            <v>KAMIL</v>
          </cell>
          <cell r="B15">
            <v>9549000</v>
          </cell>
          <cell r="C15">
            <v>7851352</v>
          </cell>
          <cell r="D15">
            <v>1360000</v>
          </cell>
        </row>
        <row r="16">
          <cell r="A16" t="str">
            <v>MUHAMMAD DZULPIKRI</v>
          </cell>
          <cell r="C16">
            <v>15349740</v>
          </cell>
        </row>
        <row r="17">
          <cell r="A17" t="str">
            <v>MUHAMMAD IMADUDDIN</v>
          </cell>
          <cell r="B17">
            <v>10297420</v>
          </cell>
          <cell r="C17">
            <v>3055963</v>
          </cell>
          <cell r="D17">
            <v>3031035</v>
          </cell>
        </row>
        <row r="18">
          <cell r="A18" t="str">
            <v>MUHAMMAD JALALUDIN</v>
          </cell>
          <cell r="B18">
            <v>17446050</v>
          </cell>
          <cell r="C18">
            <v>28546075</v>
          </cell>
        </row>
        <row r="19">
          <cell r="A19" t="str">
            <v>MUHAMMAD RIDWAN</v>
          </cell>
          <cell r="B19">
            <v>1762624</v>
          </cell>
          <cell r="C19">
            <v>2932403</v>
          </cell>
        </row>
        <row r="20">
          <cell r="A20" t="str">
            <v>MUHAMMAD UMARELLAH</v>
          </cell>
          <cell r="B20">
            <v>7899009</v>
          </cell>
          <cell r="C20">
            <v>14446170</v>
          </cell>
          <cell r="D20">
            <v>7575113</v>
          </cell>
        </row>
        <row r="21">
          <cell r="A21" t="str">
            <v>MUHAMMAD ZAENAL ABIDIN</v>
          </cell>
          <cell r="B21">
            <v>3924754</v>
          </cell>
          <cell r="C21">
            <v>3747057</v>
          </cell>
          <cell r="D21">
            <v>8580875</v>
          </cell>
        </row>
        <row r="22">
          <cell r="A22" t="str">
            <v>NURIFIN</v>
          </cell>
          <cell r="B22">
            <v>9860290</v>
          </cell>
          <cell r="C22">
            <v>9491623</v>
          </cell>
          <cell r="D22">
            <v>2766490</v>
          </cell>
        </row>
        <row r="23">
          <cell r="A23" t="str">
            <v>OFFICE</v>
          </cell>
          <cell r="C23">
            <v>4845720</v>
          </cell>
          <cell r="D23">
            <v>2040000</v>
          </cell>
        </row>
        <row r="24">
          <cell r="A24" t="str">
            <v>PANDJI KUSUMAH</v>
          </cell>
          <cell r="B24">
            <v>484500</v>
          </cell>
          <cell r="C24">
            <v>5974935</v>
          </cell>
        </row>
        <row r="25">
          <cell r="A25" t="str">
            <v>RENDI SETIAWAN</v>
          </cell>
          <cell r="C25">
            <v>3606937</v>
          </cell>
        </row>
        <row r="26">
          <cell r="A26" t="str">
            <v>RIONAR ADI SAPUTRA</v>
          </cell>
          <cell r="B26">
            <v>302400</v>
          </cell>
          <cell r="C26">
            <v>2988000</v>
          </cell>
        </row>
        <row r="27">
          <cell r="A27" t="str">
            <v>SURANTO</v>
          </cell>
          <cell r="C27">
            <v>1020000</v>
          </cell>
          <cell r="D27">
            <v>201600</v>
          </cell>
        </row>
        <row r="28">
          <cell r="A28" t="str">
            <v>SUSI SUSANTI</v>
          </cell>
          <cell r="B28">
            <v>102930</v>
          </cell>
          <cell r="C28">
            <v>3395920</v>
          </cell>
          <cell r="D28">
            <v>1303525</v>
          </cell>
        </row>
        <row r="29">
          <cell r="A29" t="str">
            <v>UGI SEPTIANA</v>
          </cell>
          <cell r="B29">
            <v>5128100</v>
          </cell>
          <cell r="C29">
            <v>5000694</v>
          </cell>
        </row>
        <row r="30">
          <cell r="A30" t="str">
            <v>YUDI WENDRA</v>
          </cell>
          <cell r="B30">
            <v>1950000</v>
          </cell>
          <cell r="C30">
            <v>1065509</v>
          </cell>
          <cell r="D30">
            <v>33398175</v>
          </cell>
        </row>
        <row r="31">
          <cell r="A31" t="str">
            <v>Grand Total</v>
          </cell>
          <cell r="B31">
            <v>125520573</v>
          </cell>
          <cell r="C31">
            <v>164420502</v>
          </cell>
          <cell r="D31">
            <v>95920480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16"/>
  <sheetViews>
    <sheetView zoomScale="170" zoomScaleNormal="170" workbookViewId="0">
      <selection activeCell="E20" sqref="E20"/>
    </sheetView>
  </sheetViews>
  <sheetFormatPr defaultRowHeight="15" x14ac:dyDescent="0.25"/>
  <cols>
    <col min="3" max="3" width="20" customWidth="1"/>
    <col min="4" max="4" width="15.140625" bestFit="1" customWidth="1"/>
    <col min="5" max="5" width="16.7109375" bestFit="1" customWidth="1"/>
    <col min="7" max="7" width="14.7109375" bestFit="1" customWidth="1"/>
  </cols>
  <sheetData>
    <row r="3" spans="2:7" x14ac:dyDescent="0.25">
      <c r="B3" t="s">
        <v>84</v>
      </c>
    </row>
    <row r="4" spans="2:7" x14ac:dyDescent="0.25">
      <c r="B4" t="s">
        <v>85</v>
      </c>
    </row>
    <row r="5" spans="2:7" x14ac:dyDescent="0.25">
      <c r="B5" s="5" t="s">
        <v>0</v>
      </c>
      <c r="C5" s="5" t="s">
        <v>1</v>
      </c>
      <c r="D5" s="5" t="s">
        <v>3</v>
      </c>
      <c r="E5" s="5" t="s">
        <v>2</v>
      </c>
      <c r="F5" s="5" t="s">
        <v>4</v>
      </c>
      <c r="G5" s="5" t="s">
        <v>5</v>
      </c>
    </row>
    <row r="6" spans="2:7" x14ac:dyDescent="0.25">
      <c r="B6" s="1">
        <v>1</v>
      </c>
      <c r="C6" t="s">
        <v>6</v>
      </c>
      <c r="D6" s="124">
        <f>'AT DETAIL'!K66</f>
        <v>1212145506</v>
      </c>
      <c r="E6" s="124">
        <f>'AT DETAIL'!G66</f>
        <v>4845451291.9687996</v>
      </c>
      <c r="F6" s="125">
        <f>D6/E6</f>
        <v>0.25016152943464676</v>
      </c>
      <c r="G6" s="126">
        <f>D6-E6</f>
        <v>-3633305785.9687996</v>
      </c>
    </row>
    <row r="7" spans="2:7" x14ac:dyDescent="0.25">
      <c r="B7" s="1">
        <v>2</v>
      </c>
      <c r="C7" t="s">
        <v>7</v>
      </c>
    </row>
    <row r="8" spans="2:7" x14ac:dyDescent="0.25">
      <c r="B8" s="1">
        <v>3</v>
      </c>
      <c r="C8" t="s">
        <v>8</v>
      </c>
    </row>
    <row r="9" spans="2:7" x14ac:dyDescent="0.25">
      <c r="B9" s="128" t="s">
        <v>9</v>
      </c>
      <c r="C9" s="128"/>
      <c r="D9" s="2"/>
      <c r="E9" s="2"/>
      <c r="F9" s="2"/>
      <c r="G9" s="2"/>
    </row>
    <row r="10" spans="2:7" x14ac:dyDescent="0.25">
      <c r="B10" s="1">
        <v>4</v>
      </c>
      <c r="C10" t="s">
        <v>11</v>
      </c>
      <c r="D10" s="127">
        <f>'[1]SALES HARIAN'!$F$16</f>
        <v>410828635</v>
      </c>
      <c r="E10" s="127">
        <f>'[1]SALES HARIAN'!$H$16</f>
        <v>2390846936.727253</v>
      </c>
      <c r="F10" s="125">
        <f t="shared" ref="F10:F14" si="0">D10/E10</f>
        <v>0.17183393411305911</v>
      </c>
      <c r="G10" s="126">
        <f t="shared" ref="G10:G14" si="1">D10-E10</f>
        <v>-1980018301.727253</v>
      </c>
    </row>
    <row r="11" spans="2:7" x14ac:dyDescent="0.25">
      <c r="B11" s="1">
        <v>5</v>
      </c>
      <c r="C11" t="s">
        <v>12</v>
      </c>
      <c r="D11" s="127">
        <f>'[1]SALES HARIAN'!$F$16</f>
        <v>410828635</v>
      </c>
      <c r="E11" s="127">
        <f>'[1]SALES HARIAN'!$H$16</f>
        <v>2390846936.727253</v>
      </c>
      <c r="F11" s="125">
        <f t="shared" si="0"/>
        <v>0.17183393411305911</v>
      </c>
      <c r="G11" s="126">
        <f t="shared" si="1"/>
        <v>-1980018301.727253</v>
      </c>
    </row>
    <row r="12" spans="2:7" x14ac:dyDescent="0.25">
      <c r="B12" s="1">
        <v>6</v>
      </c>
      <c r="C12" t="s">
        <v>13</v>
      </c>
      <c r="D12" s="127">
        <f>'[1]SALES HARIAN'!$F$16</f>
        <v>410828635</v>
      </c>
      <c r="E12" s="127">
        <f>'[1]SALES HARIAN'!$H$16</f>
        <v>2390846936.727253</v>
      </c>
      <c r="F12" s="125">
        <f t="shared" si="0"/>
        <v>0.17183393411305911</v>
      </c>
      <c r="G12" s="126">
        <f t="shared" si="1"/>
        <v>-1980018301.727253</v>
      </c>
    </row>
    <row r="13" spans="2:7" x14ac:dyDescent="0.25">
      <c r="B13" s="1">
        <v>7</v>
      </c>
      <c r="C13" t="s">
        <v>14</v>
      </c>
      <c r="D13" s="127">
        <f>'[1]SALES HARIAN'!$F$16</f>
        <v>410828635</v>
      </c>
      <c r="E13" s="127">
        <f>'[1]SALES HARIAN'!$H$16</f>
        <v>2390846936.727253</v>
      </c>
      <c r="F13" s="125">
        <f t="shared" si="0"/>
        <v>0.17183393411305911</v>
      </c>
      <c r="G13" s="126">
        <f t="shared" si="1"/>
        <v>-1980018301.727253</v>
      </c>
    </row>
    <row r="14" spans="2:7" x14ac:dyDescent="0.25">
      <c r="B14" s="1">
        <v>8</v>
      </c>
      <c r="C14" t="s">
        <v>15</v>
      </c>
      <c r="D14" s="127">
        <f>'[1]SALES HARIAN'!$F$16</f>
        <v>410828635</v>
      </c>
      <c r="E14" s="127">
        <f>'[1]SALES HARIAN'!$H$16</f>
        <v>2390846936.727253</v>
      </c>
      <c r="F14" s="125">
        <f t="shared" si="0"/>
        <v>0.17183393411305911</v>
      </c>
      <c r="G14" s="126">
        <f t="shared" si="1"/>
        <v>-1980018301.727253</v>
      </c>
    </row>
    <row r="15" spans="2:7" x14ac:dyDescent="0.25">
      <c r="B15" s="129" t="s">
        <v>10</v>
      </c>
      <c r="C15" s="129"/>
      <c r="D15" s="4"/>
      <c r="E15" s="4"/>
      <c r="F15" s="4"/>
      <c r="G15" s="4"/>
    </row>
    <row r="16" spans="2:7" x14ac:dyDescent="0.25">
      <c r="B16" s="130" t="s">
        <v>16</v>
      </c>
      <c r="C16" s="130"/>
      <c r="D16" s="3"/>
      <c r="E16" s="3"/>
      <c r="F16" s="3"/>
      <c r="G16" s="3"/>
    </row>
  </sheetData>
  <mergeCells count="3">
    <mergeCell ref="B9:C9"/>
    <mergeCell ref="B15:C15"/>
    <mergeCell ref="B16:C16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B3:H14"/>
  <sheetViews>
    <sheetView zoomScale="165" zoomScaleNormal="165" workbookViewId="0">
      <selection activeCell="G18" sqref="G18"/>
    </sheetView>
  </sheetViews>
  <sheetFormatPr defaultRowHeight="15" x14ac:dyDescent="0.25"/>
  <cols>
    <col min="3" max="3" width="11.7109375" hidden="1" customWidth="1"/>
    <col min="4" max="4" width="18.42578125" customWidth="1"/>
    <col min="5" max="6" width="0" hidden="1" customWidth="1"/>
  </cols>
  <sheetData>
    <row r="3" spans="2:8" x14ac:dyDescent="0.25">
      <c r="B3" t="s">
        <v>82</v>
      </c>
    </row>
    <row r="4" spans="2:8" x14ac:dyDescent="0.25">
      <c r="B4" t="s">
        <v>85</v>
      </c>
    </row>
    <row r="5" spans="2:8" ht="30" x14ac:dyDescent="0.25">
      <c r="B5" s="5" t="s">
        <v>0</v>
      </c>
      <c r="C5" s="5" t="s">
        <v>1</v>
      </c>
      <c r="D5" s="7" t="s">
        <v>18</v>
      </c>
      <c r="E5" s="5" t="s">
        <v>3</v>
      </c>
      <c r="F5" s="5" t="s">
        <v>2</v>
      </c>
      <c r="G5" s="5" t="s">
        <v>4</v>
      </c>
      <c r="H5" s="5" t="s">
        <v>5</v>
      </c>
    </row>
    <row r="6" spans="2:8" x14ac:dyDescent="0.25">
      <c r="B6" s="1">
        <v>1</v>
      </c>
      <c r="C6" t="s">
        <v>19</v>
      </c>
    </row>
    <row r="7" spans="2:8" x14ac:dyDescent="0.25">
      <c r="B7" s="1">
        <v>2</v>
      </c>
      <c r="C7" t="s">
        <v>20</v>
      </c>
    </row>
    <row r="8" spans="2:8" x14ac:dyDescent="0.25">
      <c r="B8" s="1">
        <v>3</v>
      </c>
      <c r="C8" t="s">
        <v>21</v>
      </c>
    </row>
    <row r="9" spans="2:8" x14ac:dyDescent="0.25">
      <c r="B9" s="1">
        <v>4</v>
      </c>
      <c r="C9" t="s">
        <v>22</v>
      </c>
    </row>
    <row r="10" spans="2:8" x14ac:dyDescent="0.25">
      <c r="B10" s="1">
        <v>5</v>
      </c>
      <c r="C10" t="s">
        <v>23</v>
      </c>
    </row>
    <row r="11" spans="2:8" x14ac:dyDescent="0.25">
      <c r="B11" s="1">
        <v>6</v>
      </c>
      <c r="C11" t="s">
        <v>24</v>
      </c>
    </row>
    <row r="12" spans="2:8" x14ac:dyDescent="0.25">
      <c r="B12" s="1">
        <v>7</v>
      </c>
      <c r="C12" t="s">
        <v>25</v>
      </c>
    </row>
    <row r="13" spans="2:8" x14ac:dyDescent="0.25">
      <c r="B13" s="1">
        <v>8</v>
      </c>
      <c r="C13" t="s">
        <v>26</v>
      </c>
    </row>
    <row r="14" spans="2:8" x14ac:dyDescent="0.25">
      <c r="B14" s="130" t="s">
        <v>17</v>
      </c>
      <c r="C14" s="130"/>
      <c r="D14" s="6"/>
      <c r="E14" s="3"/>
      <c r="F14" s="3"/>
      <c r="G14" s="3"/>
      <c r="H14" s="3"/>
    </row>
  </sheetData>
  <mergeCells count="1">
    <mergeCell ref="B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1"/>
  <sheetViews>
    <sheetView tabSelected="1" topLeftCell="C8" workbookViewId="0">
      <selection activeCell="H41" sqref="H41"/>
    </sheetView>
  </sheetViews>
  <sheetFormatPr defaultColWidth="9" defaultRowHeight="15" outlineLevelCol="1" x14ac:dyDescent="0.25"/>
  <cols>
    <col min="1" max="1" width="6.140625" style="8" hidden="1" customWidth="1"/>
    <col min="2" max="2" width="8.140625" style="8" hidden="1" customWidth="1"/>
    <col min="3" max="3" width="6.140625" style="8" customWidth="1"/>
    <col min="4" max="4" width="10.140625" style="8" customWidth="1"/>
    <col min="5" max="5" width="27.140625" style="8" customWidth="1"/>
    <col min="6" max="6" width="18.7109375" style="10" customWidth="1"/>
    <col min="7" max="7" width="14.85546875" style="10" bestFit="1" customWidth="1"/>
    <col min="8" max="8" width="15" style="10" bestFit="1" customWidth="1"/>
    <col min="9" max="9" width="15.28515625" style="8" customWidth="1"/>
    <col min="10" max="10" width="14.28515625" style="8" customWidth="1"/>
    <col min="11" max="11" width="16" style="8" customWidth="1"/>
    <col min="12" max="12" width="10.140625" style="11" customWidth="1"/>
    <col min="13" max="13" width="9.140625" style="11" bestFit="1" customWidth="1"/>
    <col min="14" max="14" width="15.28515625" style="12" customWidth="1"/>
    <col min="15" max="15" width="7.42578125" style="13" hidden="1" customWidth="1"/>
    <col min="16" max="16" width="14.85546875" style="8" hidden="1" customWidth="1" outlineLevel="1"/>
    <col min="17" max="17" width="14.140625" style="8" hidden="1" customWidth="1" outlineLevel="1"/>
    <col min="18" max="18" width="15.7109375" style="8" hidden="1" customWidth="1" collapsed="1"/>
    <col min="19" max="19" width="10" style="8" customWidth="1"/>
    <col min="20" max="16384" width="9" style="8"/>
  </cols>
  <sheetData>
    <row r="1" spans="1:24" ht="15.75" thickBot="1" x14ac:dyDescent="0.3">
      <c r="C1" s="9" t="s">
        <v>27</v>
      </c>
    </row>
    <row r="2" spans="1:24" ht="28.5" customHeight="1" thickBot="1" x14ac:dyDescent="0.3">
      <c r="A2" s="14" t="s">
        <v>28</v>
      </c>
      <c r="B2" s="15"/>
      <c r="C2" s="14" t="s">
        <v>29</v>
      </c>
      <c r="D2" s="15"/>
      <c r="E2" s="15"/>
      <c r="F2" s="16"/>
      <c r="G2" s="16"/>
      <c r="H2" s="17"/>
      <c r="I2" s="17"/>
      <c r="J2" s="17"/>
      <c r="K2" s="17"/>
      <c r="L2" s="18"/>
      <c r="M2" s="18"/>
      <c r="N2" s="19"/>
      <c r="O2" s="20"/>
    </row>
    <row r="3" spans="1:24" ht="10.5" customHeight="1" thickBot="1" x14ac:dyDescent="0.3">
      <c r="A3" s="21"/>
      <c r="B3" s="21"/>
      <c r="C3" s="21"/>
      <c r="D3" s="21"/>
      <c r="E3" s="21"/>
      <c r="F3" s="22"/>
      <c r="G3" s="22"/>
      <c r="H3" s="22"/>
      <c r="I3" s="23"/>
      <c r="J3" s="23"/>
      <c r="K3" s="23"/>
      <c r="L3" s="24"/>
      <c r="M3" s="24"/>
      <c r="N3" s="25"/>
      <c r="O3" s="26"/>
    </row>
    <row r="4" spans="1:24" ht="15" customHeight="1" x14ac:dyDescent="0.25">
      <c r="A4" s="27" t="s">
        <v>30</v>
      </c>
      <c r="B4" s="27" t="s">
        <v>31</v>
      </c>
      <c r="C4" s="144" t="s">
        <v>30</v>
      </c>
      <c r="D4" s="144" t="s">
        <v>32</v>
      </c>
      <c r="E4" s="146" t="s">
        <v>33</v>
      </c>
      <c r="F4" s="148" t="s">
        <v>34</v>
      </c>
      <c r="G4" s="150" t="s">
        <v>35</v>
      </c>
      <c r="H4" s="151"/>
      <c r="I4" s="152" t="s">
        <v>36</v>
      </c>
      <c r="J4" s="153"/>
      <c r="K4" s="134" t="s">
        <v>37</v>
      </c>
      <c r="L4" s="136" t="s">
        <v>38</v>
      </c>
      <c r="M4" s="136"/>
      <c r="N4" s="137"/>
      <c r="O4" s="138" t="s">
        <v>39</v>
      </c>
      <c r="P4" s="28"/>
      <c r="Q4" s="29"/>
      <c r="R4" s="30" t="s">
        <v>40</v>
      </c>
    </row>
    <row r="5" spans="1:24" ht="15.75" thickBot="1" x14ac:dyDescent="0.3">
      <c r="A5" s="31"/>
      <c r="B5" s="32"/>
      <c r="C5" s="145"/>
      <c r="D5" s="145"/>
      <c r="E5" s="147"/>
      <c r="F5" s="149"/>
      <c r="G5" s="33" t="s">
        <v>41</v>
      </c>
      <c r="H5" s="33" t="s">
        <v>42</v>
      </c>
      <c r="I5" s="34" t="s">
        <v>43</v>
      </c>
      <c r="J5" s="35" t="s">
        <v>44</v>
      </c>
      <c r="K5" s="135"/>
      <c r="L5" s="36" t="s">
        <v>45</v>
      </c>
      <c r="M5" s="37" t="s">
        <v>46</v>
      </c>
      <c r="N5" s="38" t="s">
        <v>47</v>
      </c>
      <c r="O5" s="139"/>
      <c r="P5" s="39" t="s">
        <v>46</v>
      </c>
      <c r="Q5" s="40" t="s">
        <v>48</v>
      </c>
      <c r="R5" s="41">
        <v>4</v>
      </c>
    </row>
    <row r="6" spans="1:24" ht="15.75" customHeight="1" x14ac:dyDescent="0.25">
      <c r="A6" s="42">
        <v>1</v>
      </c>
      <c r="B6" s="140" t="s">
        <v>49</v>
      </c>
      <c r="C6" s="42">
        <v>1</v>
      </c>
      <c r="D6" s="142" t="s">
        <v>50</v>
      </c>
      <c r="E6" s="43" t="s">
        <v>51</v>
      </c>
      <c r="F6" s="44" t="s">
        <v>52</v>
      </c>
      <c r="G6" s="44">
        <v>152033593.44299999</v>
      </c>
      <c r="H6" s="44">
        <f>G6/22</f>
        <v>6910617.8837727271</v>
      </c>
      <c r="I6" s="45">
        <f>IFERROR(VLOOKUP(E6,[2]Sheet2!$A$5:$C$31,3,0),0)</f>
        <v>55982905</v>
      </c>
      <c r="J6" s="46">
        <f>IFERROR(VLOOKUP(E6,[2]Sheet3!$A$5:$C$30,3,0),0)</f>
        <v>3755592</v>
      </c>
      <c r="K6" s="47">
        <f>SUM(I6:J6)</f>
        <v>59738497</v>
      </c>
      <c r="L6" s="48">
        <f t="shared" ref="L6:L66" si="0">J6/H6</f>
        <v>0.54345241817215084</v>
      </c>
      <c r="M6" s="49">
        <f t="shared" ref="M6:M66" si="1">K6/G6</f>
        <v>0.39292958646272469</v>
      </c>
      <c r="N6" s="50">
        <f>SUM(K6-G6)</f>
        <v>-92295096.442999989</v>
      </c>
      <c r="O6" s="51">
        <v>0</v>
      </c>
      <c r="P6" s="52" t="e">
        <f>F6-(F6*20%)</f>
        <v>#VALUE!</v>
      </c>
      <c r="Q6" s="53" t="e">
        <f>K6-P6</f>
        <v>#VALUE!</v>
      </c>
      <c r="R6" s="54" t="e">
        <f>Q6/3</f>
        <v>#VALUE!</v>
      </c>
    </row>
    <row r="7" spans="1:24" ht="15.75" customHeight="1" x14ac:dyDescent="0.25">
      <c r="A7" s="42"/>
      <c r="B7" s="141"/>
      <c r="C7" s="42"/>
      <c r="D7" s="142"/>
      <c r="E7" s="43"/>
      <c r="F7" s="44" t="s">
        <v>53</v>
      </c>
      <c r="G7" s="55">
        <v>108755574.73200001</v>
      </c>
      <c r="H7" s="44">
        <f t="shared" ref="H7:H8" si="2">G7/22</f>
        <v>4943435.215090909</v>
      </c>
      <c r="I7" s="56">
        <f>IFERROR(VLOOKUP(E6,[2]Sheet2!$A$5:$B$31,2,0),0)</f>
        <v>24324452</v>
      </c>
      <c r="J7" s="46">
        <f>IFERROR(VLOOKUP(E6,[2]Sheet3!$A$5:$B$30,2,0),0)</f>
        <v>8035155</v>
      </c>
      <c r="K7" s="47">
        <f>SUM(I7:J7)</f>
        <v>32359607</v>
      </c>
      <c r="L7" s="48">
        <f t="shared" si="0"/>
        <v>1.6254192986025073</v>
      </c>
      <c r="M7" s="49">
        <f t="shared" si="1"/>
        <v>0.29754435190786205</v>
      </c>
      <c r="N7" s="50">
        <f>SUM(K7-G7)</f>
        <v>-76395967.732000008</v>
      </c>
      <c r="O7" s="51"/>
      <c r="P7" s="52"/>
      <c r="Q7" s="53"/>
      <c r="R7" s="54"/>
    </row>
    <row r="8" spans="1:24" ht="15.75" customHeight="1" thickBot="1" x14ac:dyDescent="0.3">
      <c r="A8" s="42"/>
      <c r="B8" s="141"/>
      <c r="C8" s="42"/>
      <c r="D8" s="142"/>
      <c r="E8" s="57"/>
      <c r="F8" s="58" t="s">
        <v>54</v>
      </c>
      <c r="G8" s="59">
        <v>98345132.534999982</v>
      </c>
      <c r="H8" s="44">
        <f t="shared" si="2"/>
        <v>4470233.2970454535</v>
      </c>
      <c r="I8" s="60">
        <f>IFERROR(VLOOKUP(E6,[2]Sheet2!$A$5:$D$31,4,0),0)</f>
        <v>44518898</v>
      </c>
      <c r="J8" s="61">
        <f>IFERROR(VLOOKUP(E6,[2]Sheet3!$A$5:$D$31,4,0),0)</f>
        <v>3566989</v>
      </c>
      <c r="K8" s="62">
        <f>SUM(I8:J8)</f>
        <v>48085887</v>
      </c>
      <c r="L8" s="48">
        <f t="shared" si="0"/>
        <v>0.79794247033092391</v>
      </c>
      <c r="M8" s="49">
        <f t="shared" si="1"/>
        <v>0.48895035026656503</v>
      </c>
      <c r="N8" s="50">
        <f>SUM(K8-G8)</f>
        <v>-50259245.534999982</v>
      </c>
      <c r="O8" s="51"/>
      <c r="P8" s="52"/>
      <c r="Q8" s="53"/>
      <c r="R8" s="54"/>
      <c r="U8" s="43" t="s">
        <v>55</v>
      </c>
      <c r="V8" s="44" t="s">
        <v>52</v>
      </c>
      <c r="W8" s="55">
        <v>176856214.59999999</v>
      </c>
      <c r="X8" s="44">
        <f t="shared" ref="X8:X10" si="3">W8/22</f>
        <v>8038918.8454545448</v>
      </c>
    </row>
    <row r="9" spans="1:24" ht="15.75" thickBot="1" x14ac:dyDescent="0.3">
      <c r="A9" s="63"/>
      <c r="B9" s="141"/>
      <c r="C9" s="63"/>
      <c r="D9" s="142"/>
      <c r="E9" s="64"/>
      <c r="F9" s="65"/>
      <c r="G9" s="65">
        <f>SUM(G6:G8)</f>
        <v>359134300.70999998</v>
      </c>
      <c r="H9" s="65">
        <f>SUM(H6:H8)</f>
        <v>16324286.39590909</v>
      </c>
      <c r="I9" s="66">
        <f>SUM(I6:I8)</f>
        <v>124826255</v>
      </c>
      <c r="J9" s="67">
        <f>SUM(J6:J8)</f>
        <v>15357736</v>
      </c>
      <c r="K9" s="68">
        <f>SUM(K2:K8)</f>
        <v>140183991</v>
      </c>
      <c r="L9" s="69">
        <f t="shared" si="0"/>
        <v>0.94079064943682256</v>
      </c>
      <c r="M9" s="70">
        <f t="shared" si="1"/>
        <v>0.39033863020841947</v>
      </c>
      <c r="N9" s="71">
        <f>SUM(N6:N8)</f>
        <v>-218950309.70999998</v>
      </c>
      <c r="O9" s="72">
        <v>0</v>
      </c>
      <c r="P9" s="73" t="e">
        <f>SUM(P2:P8)</f>
        <v>#VALUE!</v>
      </c>
      <c r="Q9" s="74" t="e">
        <f>K9-P9</f>
        <v>#VALUE!</v>
      </c>
      <c r="R9" s="75" t="e">
        <f>SUM(R2:R8)</f>
        <v>#VALUE!</v>
      </c>
      <c r="U9" s="43"/>
      <c r="V9" s="44" t="s">
        <v>53</v>
      </c>
      <c r="W9" s="55">
        <v>68184046.476000011</v>
      </c>
      <c r="X9" s="44">
        <f t="shared" si="3"/>
        <v>3099274.8398181824</v>
      </c>
    </row>
    <row r="10" spans="1:24" ht="15.75" customHeight="1" x14ac:dyDescent="0.25">
      <c r="A10" s="42">
        <v>2</v>
      </c>
      <c r="B10" s="141"/>
      <c r="C10" s="42">
        <v>2</v>
      </c>
      <c r="D10" s="142"/>
      <c r="E10" s="43" t="s">
        <v>55</v>
      </c>
      <c r="F10" s="44" t="s">
        <v>52</v>
      </c>
      <c r="G10" s="55">
        <v>176856214.59999999</v>
      </c>
      <c r="H10" s="44">
        <f t="shared" ref="H10:H12" si="4">G10/22</f>
        <v>8038918.8454545448</v>
      </c>
      <c r="I10" s="45">
        <f>IFERROR(VLOOKUP(E10,[2]Sheet2!$A$5:$C$31,3,0),0)</f>
        <v>67868460</v>
      </c>
      <c r="J10" s="46">
        <f>IFERROR(VLOOKUP(E10,[2]Sheet3!$A$5:$C$30,3,0),0)</f>
        <v>4729989</v>
      </c>
      <c r="K10" s="47">
        <f>SUM(I10:J10)</f>
        <v>72598449</v>
      </c>
      <c r="L10" s="48">
        <f t="shared" si="0"/>
        <v>0.58838621099832145</v>
      </c>
      <c r="M10" s="49">
        <f t="shared" si="1"/>
        <v>0.41049419249528596</v>
      </c>
      <c r="N10" s="50">
        <f>SUM(K10-G10)</f>
        <v>-104257765.59999999</v>
      </c>
      <c r="O10" s="51">
        <v>0</v>
      </c>
      <c r="P10" s="52" t="e">
        <f>F10-(F10*20%)</f>
        <v>#VALUE!</v>
      </c>
      <c r="Q10" s="76" t="e">
        <f>K10-P10</f>
        <v>#VALUE!</v>
      </c>
      <c r="R10" s="54" t="e">
        <f>Q10/3</f>
        <v>#VALUE!</v>
      </c>
      <c r="U10" s="43"/>
      <c r="V10" s="44" t="s">
        <v>54</v>
      </c>
      <c r="W10" s="55">
        <v>183953719.22200003</v>
      </c>
      <c r="X10" s="44">
        <f t="shared" si="3"/>
        <v>8361532.6919090925</v>
      </c>
    </row>
    <row r="11" spans="1:24" ht="15.75" customHeight="1" x14ac:dyDescent="0.25">
      <c r="A11" s="42"/>
      <c r="B11" s="141"/>
      <c r="C11" s="42"/>
      <c r="D11" s="142"/>
      <c r="E11" s="43"/>
      <c r="F11" s="44" t="s">
        <v>53</v>
      </c>
      <c r="G11" s="55">
        <v>68184046.476000011</v>
      </c>
      <c r="H11" s="44">
        <f t="shared" si="4"/>
        <v>3099274.8398181824</v>
      </c>
      <c r="I11" s="56">
        <f>IFERROR(VLOOKUP(E10,[2]Sheet2!$A$5:$B$31,2,0),0)</f>
        <v>11861091</v>
      </c>
      <c r="J11" s="46">
        <f>IFERROR(VLOOKUP(E10,[2]Sheet3!$A$5:$B$30,2,0),0)</f>
        <v>9384100</v>
      </c>
      <c r="K11" s="47">
        <f>SUM(I11:J11)</f>
        <v>21245191</v>
      </c>
      <c r="L11" s="48">
        <f t="shared" si="0"/>
        <v>3.0278373119534354</v>
      </c>
      <c r="M11" s="49">
        <f t="shared" si="1"/>
        <v>0.31158595152427715</v>
      </c>
      <c r="N11" s="50">
        <f>SUM(K11-G11)</f>
        <v>-46938855.476000011</v>
      </c>
      <c r="O11" s="51"/>
      <c r="P11" s="52"/>
      <c r="Q11" s="76"/>
      <c r="R11" s="54"/>
    </row>
    <row r="12" spans="1:24" ht="15.75" customHeight="1" thickBot="1" x14ac:dyDescent="0.3">
      <c r="A12" s="42"/>
      <c r="B12" s="141"/>
      <c r="C12" s="42"/>
      <c r="D12" s="142"/>
      <c r="E12" s="43"/>
      <c r="F12" s="44" t="s">
        <v>54</v>
      </c>
      <c r="G12" s="55">
        <v>183953719.22200003</v>
      </c>
      <c r="H12" s="44">
        <f t="shared" si="4"/>
        <v>8361532.6919090925</v>
      </c>
      <c r="I12" s="60">
        <f>IFERROR(VLOOKUP(E10,[2]Sheet2!$A$5:$D$31,4,0),0)</f>
        <v>44521668</v>
      </c>
      <c r="J12" s="61">
        <f>IFERROR(VLOOKUP(E10,[2]Sheet3!$A$5:$D$31,4,0),0)</f>
        <v>2732554</v>
      </c>
      <c r="K12" s="62">
        <f>SUM(I12:J12)</f>
        <v>47254222</v>
      </c>
      <c r="L12" s="48">
        <f t="shared" si="0"/>
        <v>0.32680061188352627</v>
      </c>
      <c r="M12" s="49">
        <f t="shared" si="1"/>
        <v>0.25688103616416913</v>
      </c>
      <c r="N12" s="50">
        <f>SUM(K12-G12)</f>
        <v>-136699497.22200003</v>
      </c>
      <c r="O12" s="51"/>
      <c r="P12" s="52"/>
      <c r="Q12" s="76"/>
      <c r="R12" s="54"/>
    </row>
    <row r="13" spans="1:24" ht="15.75" thickBot="1" x14ac:dyDescent="0.3">
      <c r="A13" s="63"/>
      <c r="B13" s="141"/>
      <c r="C13" s="63"/>
      <c r="D13" s="142"/>
      <c r="E13" s="64"/>
      <c r="F13" s="65"/>
      <c r="G13" s="65">
        <f>SUM(G10:G12)</f>
        <v>428993980.29800004</v>
      </c>
      <c r="H13" s="65">
        <f>SUM(H10:H12)</f>
        <v>19499726.377181821</v>
      </c>
      <c r="I13" s="66">
        <f>SUM(I10:I12)</f>
        <v>124251219</v>
      </c>
      <c r="J13" s="77">
        <f>SUM(J10:J12)</f>
        <v>16846643</v>
      </c>
      <c r="K13" s="78">
        <f>SUM(K10:K12)</f>
        <v>141097862</v>
      </c>
      <c r="L13" s="69">
        <f t="shared" si="0"/>
        <v>0.8639425330456737</v>
      </c>
      <c r="M13" s="70">
        <f t="shared" si="1"/>
        <v>0.3289040603832869</v>
      </c>
      <c r="N13" s="71">
        <f>SUM(N10:N12)</f>
        <v>-287896118.29800004</v>
      </c>
      <c r="O13" s="72">
        <v>0</v>
      </c>
      <c r="P13" s="73" t="e">
        <f>SUM(P3:P12)</f>
        <v>#VALUE!</v>
      </c>
      <c r="Q13" s="74" t="e">
        <f>K13-P13</f>
        <v>#VALUE!</v>
      </c>
      <c r="R13" s="75" t="e">
        <f>SUM(R3:R12)</f>
        <v>#VALUE!</v>
      </c>
    </row>
    <row r="14" spans="1:24" ht="15.75" customHeight="1" x14ac:dyDescent="0.25">
      <c r="A14" s="42">
        <v>3</v>
      </c>
      <c r="B14" s="141"/>
      <c r="C14" s="42">
        <v>3</v>
      </c>
      <c r="D14" s="142"/>
      <c r="E14" s="43" t="s">
        <v>56</v>
      </c>
      <c r="F14" s="44" t="s">
        <v>52</v>
      </c>
      <c r="G14" s="55">
        <v>145700208.27000001</v>
      </c>
      <c r="H14" s="44">
        <f t="shared" ref="H14:H16" si="5">G14/22</f>
        <v>6622736.7395454552</v>
      </c>
      <c r="I14" s="45">
        <f>IFERROR(VLOOKUP(E14,[2]Sheet2!$A$5:$C$31,3,0),0)</f>
        <v>47933095</v>
      </c>
      <c r="J14" s="46">
        <f>IFERROR(VLOOKUP(E14,[2]Sheet3!$A$5:$C$30,3,0),0)</f>
        <v>28546075</v>
      </c>
      <c r="K14" s="47">
        <f>SUM(I14:J14)</f>
        <v>76479170</v>
      </c>
      <c r="L14" s="48">
        <f t="shared" si="0"/>
        <v>4.3103140170960854</v>
      </c>
      <c r="M14" s="49">
        <f t="shared" si="1"/>
        <v>0.52490776031201614</v>
      </c>
      <c r="N14" s="50">
        <f>SUM(K14-G14)</f>
        <v>-69221038.270000011</v>
      </c>
      <c r="O14" s="51">
        <v>0</v>
      </c>
      <c r="P14" s="52"/>
      <c r="Q14" s="76"/>
      <c r="R14" s="54"/>
    </row>
    <row r="15" spans="1:24" ht="15.75" customHeight="1" x14ac:dyDescent="0.25">
      <c r="A15" s="42"/>
      <c r="B15" s="141"/>
      <c r="C15" s="42"/>
      <c r="D15" s="142"/>
      <c r="E15" s="43"/>
      <c r="F15" s="44" t="s">
        <v>53</v>
      </c>
      <c r="G15" s="55">
        <v>163264923.98099998</v>
      </c>
      <c r="H15" s="44">
        <f t="shared" si="5"/>
        <v>7421132.9082272714</v>
      </c>
      <c r="I15" s="56">
        <f>IFERROR(VLOOKUP(E14,[2]Sheet2!$A$5:$B$31,2,0),0)</f>
        <v>8027705</v>
      </c>
      <c r="J15" s="46">
        <f>IFERROR(VLOOKUP(E14,[2]Sheet3!$A$5:$B$30,2,0),0)</f>
        <v>17446050</v>
      </c>
      <c r="K15" s="47">
        <f>SUM(I15:J15)</f>
        <v>25473755</v>
      </c>
      <c r="L15" s="48">
        <f t="shared" si="0"/>
        <v>2.3508607399631436</v>
      </c>
      <c r="M15" s="49">
        <f t="shared" si="1"/>
        <v>0.15602711457461935</v>
      </c>
      <c r="N15" s="50">
        <f>SUM(K15-G15)</f>
        <v>-137791168.98099998</v>
      </c>
      <c r="O15" s="51"/>
      <c r="P15" s="52"/>
      <c r="Q15" s="76"/>
      <c r="R15" s="54"/>
    </row>
    <row r="16" spans="1:24" ht="15.75" customHeight="1" thickBot="1" x14ac:dyDescent="0.3">
      <c r="A16" s="42"/>
      <c r="B16" s="141"/>
      <c r="C16" s="42"/>
      <c r="D16" s="142"/>
      <c r="E16" s="43"/>
      <c r="F16" s="44" t="s">
        <v>54</v>
      </c>
      <c r="G16" s="55">
        <v>28302086.015999999</v>
      </c>
      <c r="H16" s="44">
        <f t="shared" si="5"/>
        <v>1286458.4552727272</v>
      </c>
      <c r="I16" s="60">
        <f>IFERROR(VLOOKUP(E14,[2]Sheet2!$A$5:$D$31,4,0),0)</f>
        <v>2093703</v>
      </c>
      <c r="J16" s="61">
        <f>IFERROR(VLOOKUP(E14,[2]Sheet3!$A$5:$D$31,4,0),0)</f>
        <v>0</v>
      </c>
      <c r="K16" s="62">
        <f>SUM(I16:J16)</f>
        <v>2093703</v>
      </c>
      <c r="L16" s="48">
        <f t="shared" si="0"/>
        <v>0</v>
      </c>
      <c r="M16" s="49">
        <f t="shared" si="1"/>
        <v>7.3976985258838099E-2</v>
      </c>
      <c r="N16" s="50">
        <f>SUM(K16-G16)</f>
        <v>-26208383.015999999</v>
      </c>
      <c r="O16" s="51"/>
      <c r="P16" s="52"/>
      <c r="Q16" s="76"/>
      <c r="R16" s="54"/>
    </row>
    <row r="17" spans="1:24" ht="15.75" thickBot="1" x14ac:dyDescent="0.3">
      <c r="A17" s="63"/>
      <c r="B17" s="141"/>
      <c r="C17" s="63"/>
      <c r="D17" s="142"/>
      <c r="E17" s="64"/>
      <c r="F17" s="65"/>
      <c r="G17" s="65">
        <f>SUM(G14:G16)</f>
        <v>337267218.26699996</v>
      </c>
      <c r="H17" s="65">
        <f>SUM(H14:H16)</f>
        <v>15330328.103045452</v>
      </c>
      <c r="I17" s="66">
        <f>SUM(I14:I16)</f>
        <v>58054503</v>
      </c>
      <c r="J17" s="77">
        <f>SUM(J14:J16)</f>
        <v>45992125</v>
      </c>
      <c r="K17" s="78">
        <f>SUM(K14:K16)</f>
        <v>104046628</v>
      </c>
      <c r="L17" s="69">
        <f t="shared" si="0"/>
        <v>3.0000744074657746</v>
      </c>
      <c r="M17" s="70">
        <f t="shared" si="1"/>
        <v>0.30849908430065909</v>
      </c>
      <c r="N17" s="71">
        <f>SUM(N14:N16)</f>
        <v>-233220590.26699999</v>
      </c>
      <c r="O17" s="72">
        <v>0</v>
      </c>
      <c r="P17" s="73" t="e">
        <f>SUM(P7:P16)</f>
        <v>#VALUE!</v>
      </c>
      <c r="Q17" s="74" t="e">
        <f>K17-P17</f>
        <v>#VALUE!</v>
      </c>
      <c r="R17" s="75" t="e">
        <f>SUM(R7:R16)</f>
        <v>#VALUE!</v>
      </c>
    </row>
    <row r="18" spans="1:24" ht="15.75" customHeight="1" x14ac:dyDescent="0.25">
      <c r="A18" s="42">
        <v>4</v>
      </c>
      <c r="B18" s="141"/>
      <c r="C18" s="42">
        <v>4</v>
      </c>
      <c r="D18" s="142"/>
      <c r="E18" s="43" t="s">
        <v>57</v>
      </c>
      <c r="F18" s="44" t="s">
        <v>52</v>
      </c>
      <c r="G18" s="55">
        <v>91622429.430000007</v>
      </c>
      <c r="H18" s="44">
        <f t="shared" ref="H18:H20" si="6">G18/22</f>
        <v>4164655.8831818183</v>
      </c>
      <c r="I18" s="45">
        <f>IFERROR(VLOOKUP(E18,[2]Sheet2!$A$5:$C$31,3,0),0)</f>
        <v>15055425</v>
      </c>
      <c r="J18" s="46">
        <f>IFERROR(VLOOKUP(E18,[2]Sheet3!$A$5:$C$30,3,0),0)</f>
        <v>3606937</v>
      </c>
      <c r="K18" s="47">
        <f>SUM(I18:J18)</f>
        <v>18662362</v>
      </c>
      <c r="L18" s="48">
        <f t="shared" si="0"/>
        <v>0.86608284121767143</v>
      </c>
      <c r="M18" s="49">
        <f t="shared" si="1"/>
        <v>0.20368770088396462</v>
      </c>
      <c r="N18" s="50">
        <f>SUM(K18-G18)</f>
        <v>-72960067.430000007</v>
      </c>
      <c r="O18" s="51">
        <v>0</v>
      </c>
      <c r="P18" s="52"/>
      <c r="Q18" s="76"/>
      <c r="R18" s="54"/>
    </row>
    <row r="19" spans="1:24" ht="15.75" customHeight="1" x14ac:dyDescent="0.25">
      <c r="A19" s="42"/>
      <c r="B19" s="141"/>
      <c r="C19" s="42"/>
      <c r="D19" s="142"/>
      <c r="E19" s="43"/>
      <c r="F19" s="44" t="s">
        <v>53</v>
      </c>
      <c r="G19" s="55">
        <v>133607371.62500001</v>
      </c>
      <c r="H19" s="44">
        <f t="shared" si="6"/>
        <v>6073062.3465909101</v>
      </c>
      <c r="I19" s="56">
        <f>IFERROR(VLOOKUP(E18,[2]Sheet2!$A$5:$B$31,2,0),0)</f>
        <v>21832592</v>
      </c>
      <c r="J19" s="46">
        <f>IFERROR(VLOOKUP(E18,[2]Sheet3!$A$5:$B$30,2,0),0)</f>
        <v>0</v>
      </c>
      <c r="K19" s="47">
        <f>SUM(I19:J19)</f>
        <v>21832592</v>
      </c>
      <c r="L19" s="48">
        <f t="shared" si="0"/>
        <v>0</v>
      </c>
      <c r="M19" s="49">
        <f t="shared" si="1"/>
        <v>0.16340858842188902</v>
      </c>
      <c r="N19" s="50">
        <f>SUM(K19-G19)</f>
        <v>-111774779.62500001</v>
      </c>
      <c r="O19" s="51"/>
      <c r="P19" s="52"/>
      <c r="Q19" s="76"/>
      <c r="R19" s="54"/>
    </row>
    <row r="20" spans="1:24" ht="15.75" customHeight="1" thickBot="1" x14ac:dyDescent="0.3">
      <c r="A20" s="42"/>
      <c r="B20" s="141"/>
      <c r="C20" s="42"/>
      <c r="D20" s="142"/>
      <c r="E20" s="43"/>
      <c r="F20" s="44" t="s">
        <v>54</v>
      </c>
      <c r="G20" s="55">
        <v>35570606.467500001</v>
      </c>
      <c r="H20" s="44">
        <f t="shared" si="6"/>
        <v>1616845.7485227273</v>
      </c>
      <c r="I20" s="60">
        <f>IFERROR(VLOOKUP(E18,[2]Sheet2!$A$5:$D$31,4,0),0)</f>
        <v>4192858</v>
      </c>
      <c r="J20" s="61">
        <f>IFERROR(VLOOKUP(E18,[2]Sheet3!$A$5:$D$31,4,0),0)</f>
        <v>0</v>
      </c>
      <c r="K20" s="62">
        <f>SUM(I20:J20)</f>
        <v>4192858</v>
      </c>
      <c r="L20" s="48">
        <f t="shared" si="0"/>
        <v>0</v>
      </c>
      <c r="M20" s="49">
        <f t="shared" si="1"/>
        <v>0.11787423427348399</v>
      </c>
      <c r="N20" s="50">
        <f>SUM(K20-G20)</f>
        <v>-31377748.467500001</v>
      </c>
      <c r="O20" s="51"/>
      <c r="P20" s="52"/>
      <c r="Q20" s="76"/>
      <c r="R20" s="54"/>
    </row>
    <row r="21" spans="1:24" ht="15.75" thickBot="1" x14ac:dyDescent="0.3">
      <c r="A21" s="63"/>
      <c r="B21" s="141"/>
      <c r="C21" s="63"/>
      <c r="D21" s="143"/>
      <c r="E21" s="64"/>
      <c r="F21" s="65"/>
      <c r="G21" s="65">
        <f>SUM(G18:G20)</f>
        <v>260800407.52250001</v>
      </c>
      <c r="H21" s="65">
        <f>SUM(H18:H20)</f>
        <v>11854563.978295455</v>
      </c>
      <c r="I21" s="66">
        <f>SUM(I18:I20)</f>
        <v>41080875</v>
      </c>
      <c r="J21" s="77">
        <f>SUM(J18:J20)</f>
        <v>3606937</v>
      </c>
      <c r="K21" s="78">
        <f>SUM(K18:K20)</f>
        <v>44687812</v>
      </c>
      <c r="L21" s="69">
        <f t="shared" si="0"/>
        <v>0.30426568253408126</v>
      </c>
      <c r="M21" s="70">
        <f t="shared" si="1"/>
        <v>0.17134870464550425</v>
      </c>
      <c r="N21" s="71">
        <f>SUM(N18:N20)</f>
        <v>-216112595.52250001</v>
      </c>
      <c r="O21" s="72">
        <v>0</v>
      </c>
      <c r="P21" s="73" t="e">
        <f>SUM(P11:P20)</f>
        <v>#VALUE!</v>
      </c>
      <c r="Q21" s="74" t="e">
        <f>K21-P21</f>
        <v>#VALUE!</v>
      </c>
      <c r="R21" s="75" t="e">
        <f>SUM(R11:R20)</f>
        <v>#VALUE!</v>
      </c>
    </row>
    <row r="22" spans="1:24" ht="15.75" thickBot="1" x14ac:dyDescent="0.3">
      <c r="A22" s="79"/>
      <c r="B22" s="141"/>
      <c r="C22" s="80"/>
      <c r="D22" s="81" t="s">
        <v>58</v>
      </c>
      <c r="E22" s="82"/>
      <c r="F22" s="83"/>
      <c r="G22" s="83">
        <f>SUM(G21,G17,G13,G9)</f>
        <v>1386195906.7975001</v>
      </c>
      <c r="H22" s="83">
        <f>SUM(H21,H17,H13,H9)</f>
        <v>63008904.854431823</v>
      </c>
      <c r="I22" s="84">
        <f>SUM(I9,I13,I17,I21)</f>
        <v>348212852</v>
      </c>
      <c r="J22" s="85">
        <f>SUM(J9,J13,J17,J21)</f>
        <v>81803441</v>
      </c>
      <c r="K22" s="86">
        <f>SUM(K9,K13,K17,K21)</f>
        <v>430016293</v>
      </c>
      <c r="L22" s="87">
        <f t="shared" si="0"/>
        <v>1.2982838090741111</v>
      </c>
      <c r="M22" s="87">
        <f t="shared" si="1"/>
        <v>0.31021321798118551</v>
      </c>
      <c r="N22" s="88">
        <f>SUM(N21,N17,N13,N9)</f>
        <v>-956179613.79750013</v>
      </c>
      <c r="O22" s="72">
        <v>0</v>
      </c>
      <c r="P22" s="73" t="e">
        <f>SUM(P6:P18)</f>
        <v>#VALUE!</v>
      </c>
      <c r="Q22" s="74" t="e">
        <f>K22-P22</f>
        <v>#VALUE!</v>
      </c>
      <c r="R22" s="75" t="e">
        <f>SUM(R6:R18)</f>
        <v>#VALUE!</v>
      </c>
    </row>
    <row r="23" spans="1:24" ht="15.75" customHeight="1" x14ac:dyDescent="0.25">
      <c r="A23" s="89">
        <v>6</v>
      </c>
      <c r="B23" s="141"/>
      <c r="C23" s="42">
        <v>5</v>
      </c>
      <c r="D23" s="142" t="s">
        <v>59</v>
      </c>
      <c r="E23" s="90" t="s">
        <v>60</v>
      </c>
      <c r="F23" s="44" t="s">
        <v>52</v>
      </c>
      <c r="G23" s="55">
        <v>87081218.000000298</v>
      </c>
      <c r="H23" s="44">
        <f t="shared" ref="H23:H25" si="7">G23/22</f>
        <v>3958237.1818181952</v>
      </c>
      <c r="I23" s="45">
        <f>IFERROR(VLOOKUP(E23,[2]Sheet2!$A$5:$C$31,3,0),0)</f>
        <v>42872856</v>
      </c>
      <c r="J23" s="46">
        <f>IFERROR(VLOOKUP(E23,[2]Sheet3!$A$5:$C$30,3,0),0)</f>
        <v>1442009</v>
      </c>
      <c r="K23" s="47">
        <f>SUM(I23:J23)</f>
        <v>44314865</v>
      </c>
      <c r="L23" s="48">
        <f t="shared" si="0"/>
        <v>0.36430585984683739</v>
      </c>
      <c r="M23" s="49">
        <f t="shared" si="1"/>
        <v>0.50889119396561322</v>
      </c>
      <c r="N23" s="50">
        <f>SUM(K23-G23)</f>
        <v>-42766353.000000298</v>
      </c>
      <c r="O23" s="51">
        <v>0</v>
      </c>
      <c r="P23" s="52" t="e">
        <f>F23-(F23*20%)</f>
        <v>#VALUE!</v>
      </c>
      <c r="Q23" s="91" t="e">
        <f>K23-P23</f>
        <v>#VALUE!</v>
      </c>
      <c r="R23" s="54" t="e">
        <f>Q23/3</f>
        <v>#VALUE!</v>
      </c>
    </row>
    <row r="24" spans="1:24" ht="15.75" customHeight="1" x14ac:dyDescent="0.25">
      <c r="A24" s="89"/>
      <c r="B24" s="141"/>
      <c r="C24" s="89"/>
      <c r="D24" s="142"/>
      <c r="E24" s="43"/>
      <c r="F24" s="44" t="s">
        <v>53</v>
      </c>
      <c r="G24" s="55">
        <v>98368162.76399976</v>
      </c>
      <c r="H24" s="44">
        <f t="shared" si="7"/>
        <v>4471280.1256363532</v>
      </c>
      <c r="I24" s="56">
        <f>IFERROR(VLOOKUP(E23,[2]Sheet2!$A$5:$B$31,2,0),0)</f>
        <v>19251766</v>
      </c>
      <c r="J24" s="46">
        <f>IFERROR(VLOOKUP(E23,[2]Sheet3!$A$5:$B$30,2,0),0)</f>
        <v>0</v>
      </c>
      <c r="K24" s="47">
        <f>SUM(I24:J24)</f>
        <v>19251766</v>
      </c>
      <c r="L24" s="48">
        <f t="shared" si="0"/>
        <v>0</v>
      </c>
      <c r="M24" s="49">
        <f t="shared" si="1"/>
        <v>0.19571135069573198</v>
      </c>
      <c r="N24" s="50">
        <f>SUM(K24-G24)</f>
        <v>-79116396.76399976</v>
      </c>
      <c r="O24" s="51"/>
      <c r="P24" s="52"/>
      <c r="Q24" s="91"/>
      <c r="R24" s="54"/>
    </row>
    <row r="25" spans="1:24" ht="15.75" customHeight="1" thickBot="1" x14ac:dyDescent="0.3">
      <c r="A25" s="89"/>
      <c r="B25" s="141"/>
      <c r="C25" s="89"/>
      <c r="D25" s="142"/>
      <c r="E25" s="43"/>
      <c r="F25" s="44" t="s">
        <v>54</v>
      </c>
      <c r="G25" s="55">
        <v>59857730.239999965</v>
      </c>
      <c r="H25" s="44">
        <f t="shared" si="7"/>
        <v>2720805.9199999985</v>
      </c>
      <c r="I25" s="60">
        <f>IFERROR(VLOOKUP(E23,[2]Sheet2!$A$5:$D$31,4,0),0)</f>
        <v>7937068</v>
      </c>
      <c r="J25" s="61">
        <f>IFERROR(VLOOKUP(E23,[2]Sheet3!$A$5:$D$31,4,0),0)</f>
        <v>742555</v>
      </c>
      <c r="K25" s="62">
        <f>SUM(I25:J25)</f>
        <v>8679623</v>
      </c>
      <c r="L25" s="48">
        <f t="shared" si="0"/>
        <v>0.27291729797471198</v>
      </c>
      <c r="M25" s="49">
        <f t="shared" si="1"/>
        <v>0.14500421190711699</v>
      </c>
      <c r="N25" s="50">
        <f>SUM(K25-G25)</f>
        <v>-51178107.239999965</v>
      </c>
      <c r="O25" s="51"/>
      <c r="P25" s="52"/>
      <c r="Q25" s="91"/>
      <c r="R25" s="54"/>
    </row>
    <row r="26" spans="1:24" ht="15.75" thickBot="1" x14ac:dyDescent="0.3">
      <c r="A26" s="63"/>
      <c r="B26" s="141"/>
      <c r="C26" s="63"/>
      <c r="D26" s="142"/>
      <c r="E26" s="64"/>
      <c r="F26" s="65"/>
      <c r="G26" s="65">
        <f>SUM(G23:G25)</f>
        <v>245307111.00400001</v>
      </c>
      <c r="H26" s="65">
        <f>SUM(H23:H25)</f>
        <v>11150323.227454547</v>
      </c>
      <c r="I26" s="66">
        <f>SUM(I23:I25)</f>
        <v>70061690</v>
      </c>
      <c r="J26" s="77">
        <f>SUM(J23:J25)</f>
        <v>2184564</v>
      </c>
      <c r="K26" s="78">
        <f>SUM(K23:K25)</f>
        <v>72246254</v>
      </c>
      <c r="L26" s="69">
        <f t="shared" si="0"/>
        <v>0.1959193429138559</v>
      </c>
      <c r="M26" s="70">
        <f>K26/G26</f>
        <v>0.29451349251274639</v>
      </c>
      <c r="N26" s="71">
        <f>SUM(N23:N25)</f>
        <v>-173060857.00400001</v>
      </c>
      <c r="O26" s="72">
        <v>0</v>
      </c>
      <c r="P26" s="73" t="e">
        <f>SUM(P16:P25)</f>
        <v>#VALUE!</v>
      </c>
      <c r="Q26" s="74" t="e">
        <f>K26-P26</f>
        <v>#VALUE!</v>
      </c>
      <c r="R26" s="75" t="e">
        <f>SUM(R16:R25)</f>
        <v>#VALUE!</v>
      </c>
    </row>
    <row r="27" spans="1:24" ht="15.75" customHeight="1" x14ac:dyDescent="0.25">
      <c r="A27" s="89">
        <v>7</v>
      </c>
      <c r="B27" s="141"/>
      <c r="C27" s="89">
        <v>6</v>
      </c>
      <c r="D27" s="142"/>
      <c r="E27" s="92" t="s">
        <v>61</v>
      </c>
      <c r="F27" s="44" t="s">
        <v>52</v>
      </c>
      <c r="G27" s="55">
        <v>114595024.22549999</v>
      </c>
      <c r="H27" s="44">
        <f t="shared" ref="H27:H29" si="8">G27/22</f>
        <v>5208864.7375227269</v>
      </c>
      <c r="I27" s="45">
        <f>IFERROR(VLOOKUP(E27,[2]Sheet2!$A$5:$C$31,3,0),0)</f>
        <v>25717915</v>
      </c>
      <c r="J27" s="46">
        <f>IFERROR(VLOOKUP(E27,[2]Sheet3!$A$5:$C$30,3,0),0)</f>
        <v>1065509</v>
      </c>
      <c r="K27" s="47">
        <f>SUM(I27:J27)</f>
        <v>26783424</v>
      </c>
      <c r="L27" s="48">
        <f t="shared" si="0"/>
        <v>0.20455685714479566</v>
      </c>
      <c r="M27" s="49">
        <f t="shared" si="1"/>
        <v>0.23372239921425908</v>
      </c>
      <c r="N27" s="50">
        <f>SUM(K27-G27)</f>
        <v>-87811600.225499988</v>
      </c>
      <c r="O27" s="51">
        <v>0</v>
      </c>
      <c r="P27" s="52"/>
      <c r="Q27" s="91"/>
      <c r="R27" s="54"/>
    </row>
    <row r="28" spans="1:24" ht="15.75" customHeight="1" x14ac:dyDescent="0.25">
      <c r="A28" s="89"/>
      <c r="B28" s="141"/>
      <c r="C28" s="89"/>
      <c r="D28" s="142"/>
      <c r="E28" s="93"/>
      <c r="F28" s="44" t="s">
        <v>53</v>
      </c>
      <c r="G28" s="55">
        <v>212403065.616</v>
      </c>
      <c r="H28" s="44">
        <f t="shared" si="8"/>
        <v>9654684.8007272724</v>
      </c>
      <c r="I28" s="56">
        <f>IFERROR(VLOOKUP(E27,[2]Sheet2!$A$5:$B$31,2,0),0)</f>
        <v>25237410</v>
      </c>
      <c r="J28" s="46">
        <f>IFERROR(VLOOKUP(E27,[2]Sheet3!$A$5:$B$30,2,0),0)</f>
        <v>1950000</v>
      </c>
      <c r="K28" s="47">
        <f>SUM(I28:J28)</f>
        <v>27187410</v>
      </c>
      <c r="L28" s="48">
        <f t="shared" si="0"/>
        <v>0.20197448598768439</v>
      </c>
      <c r="M28" s="49">
        <f t="shared" si="1"/>
        <v>0.12799914126075596</v>
      </c>
      <c r="N28" s="50">
        <f>SUM(K28-G28)</f>
        <v>-185215655.616</v>
      </c>
      <c r="O28" s="51"/>
      <c r="P28" s="52"/>
      <c r="Q28" s="91"/>
      <c r="R28" s="54"/>
    </row>
    <row r="29" spans="1:24" ht="15.75" customHeight="1" thickBot="1" x14ac:dyDescent="0.3">
      <c r="A29" s="89"/>
      <c r="B29" s="141"/>
      <c r="C29" s="89"/>
      <c r="D29" s="142"/>
      <c r="E29" s="93"/>
      <c r="F29" s="44" t="s">
        <v>54</v>
      </c>
      <c r="G29" s="55">
        <v>156130986.75599998</v>
      </c>
      <c r="H29" s="44">
        <f t="shared" si="8"/>
        <v>7096863.0343636358</v>
      </c>
      <c r="I29" s="60">
        <f>IFERROR(VLOOKUP(E27,[2]Sheet2!$A$5:$D$31,4,0),0)</f>
        <v>51735998</v>
      </c>
      <c r="J29" s="61">
        <f>IFERROR(VLOOKUP(E27,[2]Sheet3!$A$5:$D$31,4,0),0)</f>
        <v>33398175</v>
      </c>
      <c r="K29" s="62">
        <f>SUM(I29:J29)</f>
        <v>85134173</v>
      </c>
      <c r="L29" s="48">
        <f t="shared" si="0"/>
        <v>4.7060475647174105</v>
      </c>
      <c r="M29" s="49">
        <f t="shared" si="1"/>
        <v>0.54527403412268749</v>
      </c>
      <c r="N29" s="50">
        <f>SUM(K29-G29)</f>
        <v>-70996813.755999982</v>
      </c>
      <c r="O29" s="51"/>
      <c r="P29" s="52"/>
      <c r="Q29" s="91"/>
      <c r="R29" s="54"/>
    </row>
    <row r="30" spans="1:24" ht="15.75" thickBot="1" x14ac:dyDescent="0.3">
      <c r="A30" s="63"/>
      <c r="B30" s="141"/>
      <c r="C30" s="63"/>
      <c r="D30" s="142"/>
      <c r="E30" s="64"/>
      <c r="F30" s="65"/>
      <c r="G30" s="65">
        <f>SUM(G27:G29)</f>
        <v>483129076.59749997</v>
      </c>
      <c r="H30" s="65">
        <f>SUM(H27:H29)</f>
        <v>21960412.572613634</v>
      </c>
      <c r="I30" s="66">
        <f>SUM(I27:I29)</f>
        <v>102691323</v>
      </c>
      <c r="J30" s="77">
        <f>SUM(J27:J29)</f>
        <v>36413684</v>
      </c>
      <c r="K30" s="78">
        <f>SUM(K27:K29)</f>
        <v>139105007</v>
      </c>
      <c r="L30" s="69">
        <f t="shared" si="0"/>
        <v>1.6581511790634906</v>
      </c>
      <c r="M30" s="70">
        <f>K30/G30</f>
        <v>0.28792513996397257</v>
      </c>
      <c r="N30" s="71">
        <f>SUM(N27:N29)</f>
        <v>-344024069.59749997</v>
      </c>
      <c r="O30" s="72">
        <v>0</v>
      </c>
      <c r="P30" s="73" t="e">
        <f>SUM(P20:P29)</f>
        <v>#VALUE!</v>
      </c>
      <c r="Q30" s="74" t="e">
        <f>K30-P30</f>
        <v>#VALUE!</v>
      </c>
      <c r="R30" s="75" t="e">
        <f>SUM(R20:R29)</f>
        <v>#VALUE!</v>
      </c>
    </row>
    <row r="31" spans="1:24" ht="15.75" customHeight="1" x14ac:dyDescent="0.25">
      <c r="A31" s="89">
        <v>8</v>
      </c>
      <c r="B31" s="141"/>
      <c r="C31" s="89">
        <v>7</v>
      </c>
      <c r="D31" s="142"/>
      <c r="E31" s="43" t="s">
        <v>62</v>
      </c>
      <c r="F31" s="44" t="s">
        <v>52</v>
      </c>
      <c r="G31" s="55">
        <v>190125914.20874998</v>
      </c>
      <c r="H31" s="44">
        <f t="shared" ref="H31:H33" si="9">G31/22</f>
        <v>8642087.0094886348</v>
      </c>
      <c r="I31" s="45">
        <f>IFERROR(VLOOKUP(E31,[2]Sheet2!$A$5:$C$31,3,0),0)</f>
        <v>21555523</v>
      </c>
      <c r="J31" s="46">
        <f>IFERROR(VLOOKUP(E31,[2]Sheet3!$A$5:$C$30,3,0),0)</f>
        <v>522048</v>
      </c>
      <c r="K31" s="47">
        <f>SUM(I31:J31)</f>
        <v>22077571</v>
      </c>
      <c r="L31" s="48">
        <f t="shared" si="0"/>
        <v>6.0407630636767955E-2</v>
      </c>
      <c r="M31" s="49">
        <f t="shared" si="1"/>
        <v>0.11612078812023377</v>
      </c>
      <c r="N31" s="50">
        <f>SUM(K31-G31)</f>
        <v>-168048343.20874998</v>
      </c>
      <c r="O31" s="51">
        <v>0</v>
      </c>
      <c r="P31" s="52"/>
      <c r="Q31" s="91"/>
      <c r="R31" s="54"/>
      <c r="U31" s="92" t="s">
        <v>61</v>
      </c>
      <c r="V31" s="44" t="s">
        <v>52</v>
      </c>
      <c r="W31" s="55">
        <v>114595024.22549999</v>
      </c>
      <c r="X31" s="44">
        <f t="shared" ref="X31:X33" si="10">W31/22</f>
        <v>5208864.7375227269</v>
      </c>
    </row>
    <row r="32" spans="1:24" ht="15.75" customHeight="1" x14ac:dyDescent="0.25">
      <c r="A32" s="89"/>
      <c r="B32" s="141"/>
      <c r="C32" s="89"/>
      <c r="D32" s="142"/>
      <c r="E32" s="43"/>
      <c r="F32" s="44" t="s">
        <v>53</v>
      </c>
      <c r="G32" s="55">
        <v>212156388.81439969</v>
      </c>
      <c r="H32" s="44">
        <f t="shared" si="9"/>
        <v>9643472.2188363504</v>
      </c>
      <c r="I32" s="56">
        <f>IFERROR(VLOOKUP(E31,[2]Sheet2!$A$5:$B$31,2,0),0)</f>
        <v>44676802</v>
      </c>
      <c r="J32" s="46">
        <f>IFERROR(VLOOKUP(E31,[2]Sheet3!$A$5:$B$30,2,0),0)</f>
        <v>29144557</v>
      </c>
      <c r="K32" s="47">
        <f>SUM(I32:J32)</f>
        <v>73821359</v>
      </c>
      <c r="L32" s="48">
        <f t="shared" si="0"/>
        <v>3.0222057303252945</v>
      </c>
      <c r="M32" s="49">
        <f t="shared" si="1"/>
        <v>0.34795727535021809</v>
      </c>
      <c r="N32" s="50">
        <f>SUM(K32-G32)</f>
        <v>-138335029.81439969</v>
      </c>
      <c r="O32" s="51"/>
      <c r="P32" s="52"/>
      <c r="Q32" s="91"/>
      <c r="R32" s="54"/>
      <c r="U32" s="93"/>
      <c r="V32" s="44" t="s">
        <v>53</v>
      </c>
      <c r="W32" s="55">
        <v>212403065.616</v>
      </c>
      <c r="X32" s="44">
        <f t="shared" si="10"/>
        <v>9654684.8007272724</v>
      </c>
    </row>
    <row r="33" spans="1:24" ht="15.75" customHeight="1" thickBot="1" x14ac:dyDescent="0.3">
      <c r="A33" s="89"/>
      <c r="B33" s="141"/>
      <c r="C33" s="89"/>
      <c r="D33" s="142"/>
      <c r="E33" s="43"/>
      <c r="F33" s="44" t="s">
        <v>54</v>
      </c>
      <c r="G33" s="55">
        <v>66147616.103100009</v>
      </c>
      <c r="H33" s="44">
        <f t="shared" si="9"/>
        <v>3006709.8228681823</v>
      </c>
      <c r="I33" s="60">
        <f>IFERROR(VLOOKUP(E31,[2]Sheet2!$A$5:$D$31,4,0),0)</f>
        <v>26169414</v>
      </c>
      <c r="J33" s="61">
        <f>IFERROR(VLOOKUP(E31,[2]Sheet3!$A$5:$D$31,4,0),0)</f>
        <v>1529924</v>
      </c>
      <c r="K33" s="62">
        <f>SUM(I33:J33)</f>
        <v>27699338</v>
      </c>
      <c r="L33" s="48">
        <f t="shared" si="0"/>
        <v>0.50883659885095389</v>
      </c>
      <c r="M33" s="49">
        <f t="shared" si="1"/>
        <v>0.41875035914864767</v>
      </c>
      <c r="N33" s="50">
        <f>SUM(K33-G33)</f>
        <v>-38448278.103100009</v>
      </c>
      <c r="O33" s="51"/>
      <c r="P33" s="52"/>
      <c r="Q33" s="91"/>
      <c r="R33" s="54"/>
      <c r="U33" s="93"/>
      <c r="V33" s="44" t="s">
        <v>54</v>
      </c>
      <c r="W33" s="55">
        <v>156130986.75599998</v>
      </c>
      <c r="X33" s="44">
        <f t="shared" si="10"/>
        <v>7096863.0343636358</v>
      </c>
    </row>
    <row r="34" spans="1:24" ht="15.75" thickBot="1" x14ac:dyDescent="0.3">
      <c r="A34" s="63"/>
      <c r="B34" s="141"/>
      <c r="C34" s="63"/>
      <c r="D34" s="142"/>
      <c r="E34" s="64"/>
      <c r="F34" s="65"/>
      <c r="G34" s="65">
        <f>SUM(G31:G33)</f>
        <v>468429919.12624967</v>
      </c>
      <c r="H34" s="65">
        <f>SUM(H31:H33)</f>
        <v>21292269.05119317</v>
      </c>
      <c r="I34" s="66">
        <f>SUM(I31:I33)</f>
        <v>92401739</v>
      </c>
      <c r="J34" s="77">
        <f>SUM(J31:J33)</f>
        <v>31196529</v>
      </c>
      <c r="K34" s="78">
        <f>SUM(K31:K33)</f>
        <v>123598268</v>
      </c>
      <c r="L34" s="69">
        <f t="shared" si="0"/>
        <v>1.4651575614132031</v>
      </c>
      <c r="M34" s="70">
        <f>K34/G34</f>
        <v>0.26385647661136735</v>
      </c>
      <c r="N34" s="71">
        <f>SUM(N31:N33)</f>
        <v>-344831651.12624967</v>
      </c>
      <c r="O34" s="72">
        <v>0</v>
      </c>
      <c r="P34" s="73" t="e">
        <f>SUM(P24:P33)</f>
        <v>#VALUE!</v>
      </c>
      <c r="Q34" s="74" t="e">
        <f>K34-P34</f>
        <v>#VALUE!</v>
      </c>
      <c r="R34" s="75" t="e">
        <f>SUM(R24:R33)</f>
        <v>#VALUE!</v>
      </c>
    </row>
    <row r="35" spans="1:24" ht="15.75" customHeight="1" x14ac:dyDescent="0.25">
      <c r="A35" s="89">
        <v>9</v>
      </c>
      <c r="B35" s="141"/>
      <c r="C35" s="89">
        <v>8</v>
      </c>
      <c r="D35" s="142"/>
      <c r="E35" s="43" t="s">
        <v>63</v>
      </c>
      <c r="F35" s="44" t="s">
        <v>52</v>
      </c>
      <c r="G35" s="55">
        <v>99806152.200000003</v>
      </c>
      <c r="H35" s="44">
        <f t="shared" ref="H35:H37" si="11">G35/22</f>
        <v>4536643.2818181822</v>
      </c>
      <c r="I35" s="45">
        <f>IFERROR(VLOOKUP(E35,[2]Sheet2!$A$5:$C$31,3,0),0)</f>
        <v>7656637</v>
      </c>
      <c r="J35" s="46">
        <f>IFERROR(VLOOKUP(E35,[2]Sheet3!$A$5:$C$30,3,0),0)</f>
        <v>2988000</v>
      </c>
      <c r="K35" s="47">
        <f>SUM(I35:J35)</f>
        <v>10644637</v>
      </c>
      <c r="L35" s="48">
        <f t="shared" si="0"/>
        <v>0.65863675285540157</v>
      </c>
      <c r="M35" s="49">
        <f t="shared" si="1"/>
        <v>0.10665311471650943</v>
      </c>
      <c r="N35" s="50">
        <f>SUM(K35-G35)</f>
        <v>-89161515.200000003</v>
      </c>
      <c r="O35" s="51">
        <v>0</v>
      </c>
      <c r="P35" s="52" t="e">
        <f>F35-(F35*20%)</f>
        <v>#VALUE!</v>
      </c>
      <c r="Q35" s="94" t="e">
        <f>K35-P35</f>
        <v>#VALUE!</v>
      </c>
      <c r="R35" s="54" t="e">
        <f>Q35/3</f>
        <v>#VALUE!</v>
      </c>
    </row>
    <row r="36" spans="1:24" ht="15.75" customHeight="1" x14ac:dyDescent="0.25">
      <c r="A36" s="95"/>
      <c r="B36" s="141"/>
      <c r="C36" s="96"/>
      <c r="D36" s="142"/>
      <c r="E36" s="43"/>
      <c r="F36" s="44" t="s">
        <v>53</v>
      </c>
      <c r="G36" s="55">
        <v>109180675.368</v>
      </c>
      <c r="H36" s="44">
        <f t="shared" si="11"/>
        <v>4962757.9712727275</v>
      </c>
      <c r="I36" s="56">
        <f>IFERROR(VLOOKUP(E35,[2]Sheet2!$A$5:$B$31,2,0),0)</f>
        <v>18840785</v>
      </c>
      <c r="J36" s="46">
        <f>IFERROR(VLOOKUP(E35,[2]Sheet3!$A$5:$B$30,2,0),0)</f>
        <v>302400</v>
      </c>
      <c r="K36" s="47">
        <f>SUM(I36:J36)</f>
        <v>19143185</v>
      </c>
      <c r="L36" s="48">
        <f t="shared" si="0"/>
        <v>6.0933860113764081E-2</v>
      </c>
      <c r="M36" s="49">
        <f t="shared" si="1"/>
        <v>0.17533492017224431</v>
      </c>
      <c r="N36" s="50">
        <f>SUM(K36-G36)</f>
        <v>-90037490.368000001</v>
      </c>
      <c r="O36" s="97"/>
      <c r="P36" s="98"/>
      <c r="Q36" s="99"/>
      <c r="R36" s="100"/>
    </row>
    <row r="37" spans="1:24" ht="15.75" customHeight="1" thickBot="1" x14ac:dyDescent="0.3">
      <c r="A37" s="95"/>
      <c r="B37" s="141"/>
      <c r="C37" s="95"/>
      <c r="D37" s="142"/>
      <c r="E37" s="43"/>
      <c r="F37" s="44" t="s">
        <v>54</v>
      </c>
      <c r="G37" s="55">
        <v>63513219.015000001</v>
      </c>
      <c r="H37" s="44">
        <f t="shared" si="11"/>
        <v>2886964.500681818</v>
      </c>
      <c r="I37" s="60">
        <f>IFERROR(VLOOKUP(E35,[2]Sheet2!$A$5:$D$31,4,0),0)</f>
        <v>5697355</v>
      </c>
      <c r="J37" s="61">
        <f>IFERROR(VLOOKUP(E35,[2]Sheet3!$A$5:$D$31,4,0),0)</f>
        <v>0</v>
      </c>
      <c r="K37" s="62">
        <f>SUM(I37:J37)</f>
        <v>5697355</v>
      </c>
      <c r="L37" s="48">
        <f t="shared" si="0"/>
        <v>0</v>
      </c>
      <c r="M37" s="49">
        <f t="shared" si="1"/>
        <v>8.9703452105843476E-2</v>
      </c>
      <c r="N37" s="50">
        <f>SUM(K37-G37)</f>
        <v>-57815864.015000001</v>
      </c>
      <c r="O37" s="97"/>
      <c r="P37" s="98"/>
      <c r="Q37" s="99"/>
      <c r="R37" s="100"/>
    </row>
    <row r="38" spans="1:24" ht="15.75" thickBot="1" x14ac:dyDescent="0.3">
      <c r="A38" s="63"/>
      <c r="B38" s="141"/>
      <c r="C38" s="63"/>
      <c r="D38" s="143"/>
      <c r="E38" s="64"/>
      <c r="F38" s="65"/>
      <c r="G38" s="65">
        <f>SUM(G35:G37)</f>
        <v>272500046.583</v>
      </c>
      <c r="H38" s="65">
        <f>SUM(H35:H37)</f>
        <v>12386365.753772728</v>
      </c>
      <c r="I38" s="65">
        <f>SUM(I35:I37)</f>
        <v>32194777</v>
      </c>
      <c r="J38" s="77">
        <f>SUM(J35:J37)</f>
        <v>3290400</v>
      </c>
      <c r="K38" s="78">
        <f>SUM(K35:K37)</f>
        <v>35485177</v>
      </c>
      <c r="L38" s="69">
        <f t="shared" si="0"/>
        <v>0.26564692706557502</v>
      </c>
      <c r="M38" s="70">
        <f t="shared" si="1"/>
        <v>0.13022081076669348</v>
      </c>
      <c r="N38" s="71">
        <f>SUM(N35:N37)</f>
        <v>-237014869.583</v>
      </c>
      <c r="O38" s="72">
        <v>0</v>
      </c>
      <c r="P38" s="73" t="e">
        <f>SUM(P28:P37)</f>
        <v>#VALUE!</v>
      </c>
      <c r="Q38" s="74" t="e">
        <f>K38-P38</f>
        <v>#VALUE!</v>
      </c>
      <c r="R38" s="75" t="e">
        <f>SUM(R28:R37)</f>
        <v>#VALUE!</v>
      </c>
    </row>
    <row r="39" spans="1:24" ht="15.75" thickBot="1" x14ac:dyDescent="0.3">
      <c r="A39" s="79"/>
      <c r="B39" s="141"/>
      <c r="C39" s="80"/>
      <c r="D39" s="81" t="s">
        <v>64</v>
      </c>
      <c r="E39" s="82"/>
      <c r="F39" s="83"/>
      <c r="G39" s="83">
        <f>SUM(G38,G34,G30,G26)</f>
        <v>1469366153.3107498</v>
      </c>
      <c r="H39" s="83">
        <f>SUM(H38,H34,H30,H26)</f>
        <v>66789370.605034083</v>
      </c>
      <c r="I39" s="84">
        <f>SUM(I26,I30,I34,I38)</f>
        <v>297349529</v>
      </c>
      <c r="J39" s="85">
        <f>SUM(J26,J30,J34,J38)</f>
        <v>73085177</v>
      </c>
      <c r="K39" s="86">
        <f>SUM(K26,K30,K34,K38)</f>
        <v>370434706</v>
      </c>
      <c r="L39" s="87">
        <f t="shared" si="0"/>
        <v>1.0942635982033253</v>
      </c>
      <c r="M39" s="87">
        <f t="shared" si="1"/>
        <v>0.25210510339124326</v>
      </c>
      <c r="N39" s="88">
        <f>SUM(N38,N34,N30,N26)</f>
        <v>-1098931447.3107498</v>
      </c>
      <c r="O39" s="72">
        <v>0</v>
      </c>
      <c r="P39" s="73" t="e">
        <f>SUM(P23:P35)</f>
        <v>#VALUE!</v>
      </c>
      <c r="Q39" s="74" t="e">
        <f>K39-P39</f>
        <v>#VALUE!</v>
      </c>
      <c r="R39" s="75" t="e">
        <f>SUM(R23:R35)</f>
        <v>#VALUE!</v>
      </c>
    </row>
    <row r="40" spans="1:24" x14ac:dyDescent="0.25">
      <c r="A40" s="42">
        <v>13</v>
      </c>
      <c r="B40" s="141"/>
      <c r="C40" s="42">
        <v>9</v>
      </c>
      <c r="D40" s="142" t="s">
        <v>65</v>
      </c>
      <c r="E40" s="43" t="s">
        <v>66</v>
      </c>
      <c r="F40" s="44" t="s">
        <v>52</v>
      </c>
      <c r="G40" s="55">
        <v>142808875.13249999</v>
      </c>
      <c r="H40" s="44">
        <f t="shared" ref="H40:H42" si="12">G40/22</f>
        <v>6491312.5060227271</v>
      </c>
      <c r="I40" s="45">
        <f>IFERROR(VLOOKUP(E40,[2]Sheet2!$A$5:$C$31,3,0),0)</f>
        <v>53861851</v>
      </c>
      <c r="J40" s="46">
        <f>IFERROR(VLOOKUP(E40,[2]Sheet3!$A$5:$C$30,3,0),0)</f>
        <v>7851352</v>
      </c>
      <c r="K40" s="47">
        <f>SUM(I40:J40)</f>
        <v>61713203</v>
      </c>
      <c r="L40" s="48">
        <f t="shared" si="0"/>
        <v>1.2095168723914325</v>
      </c>
      <c r="M40" s="49">
        <f t="shared" si="1"/>
        <v>0.43213842937101538</v>
      </c>
      <c r="N40" s="50">
        <f>SUM(K40-G40)</f>
        <v>-81095672.132499993</v>
      </c>
      <c r="O40" s="51">
        <v>0</v>
      </c>
      <c r="P40" s="52" t="e">
        <f>F40-(F40*20%)</f>
        <v>#VALUE!</v>
      </c>
      <c r="Q40" s="76" t="e">
        <f>K40-P40</f>
        <v>#VALUE!</v>
      </c>
      <c r="R40" s="54" t="e">
        <f>Q40/3</f>
        <v>#VALUE!</v>
      </c>
    </row>
    <row r="41" spans="1:24" x14ac:dyDescent="0.25">
      <c r="A41" s="42"/>
      <c r="B41" s="141"/>
      <c r="C41" s="42"/>
      <c r="D41" s="142"/>
      <c r="E41" s="43"/>
      <c r="F41" s="44" t="s">
        <v>53</v>
      </c>
      <c r="G41" s="55">
        <v>172835963.664</v>
      </c>
      <c r="H41" s="44">
        <f>G41/22</f>
        <v>7856180.1665454544</v>
      </c>
      <c r="I41" s="56">
        <f>IFERROR(VLOOKUP(E40,[2]Sheet2!$A$5:$B$31,2,0),0)</f>
        <v>50656042</v>
      </c>
      <c r="J41" s="46">
        <f>IFERROR(VLOOKUP(E40,[2]Sheet3!$A$5:$B$30,2,0),0)</f>
        <v>9549000</v>
      </c>
      <c r="K41" s="47">
        <f>SUM(I41:J41)</f>
        <v>60205042</v>
      </c>
      <c r="L41" s="48">
        <f t="shared" si="0"/>
        <v>1.2154761980463742</v>
      </c>
      <c r="M41" s="49">
        <f t="shared" si="1"/>
        <v>0.3483363110529531</v>
      </c>
      <c r="N41" s="50">
        <f>SUM(K41-G41)</f>
        <v>-112630921.664</v>
      </c>
      <c r="O41" s="51"/>
      <c r="P41" s="52"/>
      <c r="Q41" s="76"/>
      <c r="R41" s="54"/>
    </row>
    <row r="42" spans="1:24" ht="15.75" thickBot="1" x14ac:dyDescent="0.3">
      <c r="A42" s="42"/>
      <c r="B42" s="141"/>
      <c r="C42" s="42"/>
      <c r="D42" s="142"/>
      <c r="E42" s="43"/>
      <c r="F42" s="44" t="s">
        <v>54</v>
      </c>
      <c r="G42" s="55">
        <v>196242152.10625002</v>
      </c>
      <c r="H42" s="44">
        <f t="shared" si="12"/>
        <v>8920097.8230113648</v>
      </c>
      <c r="I42" s="60">
        <f>IFERROR(VLOOKUP(E40,[2]Sheet2!$A$5:$D$31,4,0),0)</f>
        <v>19574174</v>
      </c>
      <c r="J42" s="61">
        <f>IFERROR(VLOOKUP(E40,[2]Sheet3!$A$5:$D$31,4,0),0)</f>
        <v>1360000</v>
      </c>
      <c r="K42" s="62">
        <f>SUM(I42:J42)</f>
        <v>20934174</v>
      </c>
      <c r="L42" s="48">
        <f t="shared" si="0"/>
        <v>0.15246469567761681</v>
      </c>
      <c r="M42" s="49">
        <f t="shared" si="1"/>
        <v>0.10667521618222855</v>
      </c>
      <c r="N42" s="50">
        <f>SUM(K42-G42)</f>
        <v>-175307978.10625002</v>
      </c>
      <c r="O42" s="51"/>
      <c r="P42" s="52"/>
      <c r="Q42" s="76"/>
      <c r="R42" s="54"/>
    </row>
    <row r="43" spans="1:24" ht="15.75" thickBot="1" x14ac:dyDescent="0.3">
      <c r="A43" s="63"/>
      <c r="B43" s="141"/>
      <c r="C43" s="63"/>
      <c r="D43" s="142"/>
      <c r="E43" s="64"/>
      <c r="F43" s="65"/>
      <c r="G43" s="65">
        <f>SUM(G40:G42)</f>
        <v>511886990.90275002</v>
      </c>
      <c r="H43" s="65">
        <f>SUM(H40:H42)</f>
        <v>23267590.495579548</v>
      </c>
      <c r="I43" s="66">
        <f>SUM(I40:I42)</f>
        <v>124092067</v>
      </c>
      <c r="J43" s="77">
        <f>SUM(J40:J42)</f>
        <v>18760352</v>
      </c>
      <c r="K43" s="78">
        <f>SUM(K40:K42)</f>
        <v>142852419</v>
      </c>
      <c r="L43" s="69">
        <f t="shared" si="0"/>
        <v>0.80628683935124923</v>
      </c>
      <c r="M43" s="70">
        <f t="shared" si="1"/>
        <v>0.27907022748921467</v>
      </c>
      <c r="N43" s="71">
        <f>SUM(N40:N42)</f>
        <v>-369034571.90275002</v>
      </c>
      <c r="O43" s="72">
        <v>0</v>
      </c>
      <c r="P43" s="73" t="e">
        <f>SUM(P33:P42)</f>
        <v>#VALUE!</v>
      </c>
      <c r="Q43" s="74" t="e">
        <f>K43-P43</f>
        <v>#VALUE!</v>
      </c>
      <c r="R43" s="75" t="e">
        <f>SUM(R33:R42)</f>
        <v>#VALUE!</v>
      </c>
    </row>
    <row r="44" spans="1:24" x14ac:dyDescent="0.25">
      <c r="A44" s="89">
        <v>14</v>
      </c>
      <c r="B44" s="141"/>
      <c r="C44" s="89">
        <v>10</v>
      </c>
      <c r="D44" s="142"/>
      <c r="E44" s="43" t="s">
        <v>67</v>
      </c>
      <c r="F44" s="44" t="s">
        <v>52</v>
      </c>
      <c r="G44" s="55">
        <v>118438935.2</v>
      </c>
      <c r="H44" s="44">
        <f t="shared" ref="H44:H46" si="13">G44/22</f>
        <v>5383587.9636363639</v>
      </c>
      <c r="I44" s="45">
        <f>IFERROR(VLOOKUP(E44,[2]Sheet2!$A$5:$C$31,3,0),0)</f>
        <v>18219706</v>
      </c>
      <c r="J44" s="46">
        <f>IFERROR(VLOOKUP(E44,[2]Sheet3!$A$5:$C$30,3,0),0)</f>
        <v>3055963</v>
      </c>
      <c r="K44" s="47">
        <f>SUM(I44:J44)</f>
        <v>21275669</v>
      </c>
      <c r="L44" s="48">
        <f t="shared" si="0"/>
        <v>0.56764429607941969</v>
      </c>
      <c r="M44" s="49">
        <f t="shared" si="1"/>
        <v>0.1796340786420714</v>
      </c>
      <c r="N44" s="50">
        <f>SUM(K44-G44)</f>
        <v>-97163266.200000003</v>
      </c>
      <c r="O44" s="51">
        <v>0</v>
      </c>
      <c r="P44" s="52" t="e">
        <f>F44-(F44*20%)</f>
        <v>#VALUE!</v>
      </c>
      <c r="Q44" s="76" t="e">
        <f>K44-P44</f>
        <v>#VALUE!</v>
      </c>
      <c r="R44" s="54" t="e">
        <f>Q44/3</f>
        <v>#VALUE!</v>
      </c>
    </row>
    <row r="45" spans="1:24" x14ac:dyDescent="0.25">
      <c r="A45" s="42"/>
      <c r="B45" s="141"/>
      <c r="C45" s="42"/>
      <c r="D45" s="142"/>
      <c r="E45" s="43"/>
      <c r="F45" s="44" t="s">
        <v>53</v>
      </c>
      <c r="G45" s="55">
        <v>135135084.65600002</v>
      </c>
      <c r="H45" s="44">
        <f t="shared" si="13"/>
        <v>6142503.8480000012</v>
      </c>
      <c r="I45" s="56">
        <f>IFERROR(VLOOKUP(E44,[2]Sheet2!$A$5:$B$31,2,0),0)</f>
        <v>15985959</v>
      </c>
      <c r="J45" s="46">
        <f>IFERROR(VLOOKUP(E44,[2]Sheet3!$A$5:$B$30,2,0),0)</f>
        <v>10297420</v>
      </c>
      <c r="K45" s="47">
        <f>SUM(I45:J45)</f>
        <v>26283379</v>
      </c>
      <c r="L45" s="48">
        <f t="shared" si="0"/>
        <v>1.6764206022195394</v>
      </c>
      <c r="M45" s="49">
        <f t="shared" si="1"/>
        <v>0.19449707725352738</v>
      </c>
      <c r="N45" s="50">
        <f>SUM(K45-G45)</f>
        <v>-108851705.65600002</v>
      </c>
      <c r="O45" s="51"/>
      <c r="P45" s="52"/>
      <c r="Q45" s="76"/>
      <c r="R45" s="54"/>
    </row>
    <row r="46" spans="1:24" ht="15.75" thickBot="1" x14ac:dyDescent="0.3">
      <c r="A46" s="42"/>
      <c r="B46" s="141"/>
      <c r="C46" s="42"/>
      <c r="D46" s="142"/>
      <c r="E46" s="43"/>
      <c r="F46" s="44" t="s">
        <v>54</v>
      </c>
      <c r="G46" s="55">
        <v>37974249.808499999</v>
      </c>
      <c r="H46" s="44">
        <f t="shared" si="13"/>
        <v>1726102.2640227273</v>
      </c>
      <c r="I46" s="60">
        <f>IFERROR(VLOOKUP(E44,[2]Sheet2!$A$5:$D$31,4,0),0)</f>
        <v>21571954</v>
      </c>
      <c r="J46" s="61">
        <f>IFERROR(VLOOKUP(E44,[2]Sheet3!$A$5:$D$31,4,0),0)</f>
        <v>3031035</v>
      </c>
      <c r="K46" s="62">
        <f>SUM(I46:J46)</f>
        <v>24602989</v>
      </c>
      <c r="L46" s="48">
        <f t="shared" si="0"/>
        <v>1.755999666518073</v>
      </c>
      <c r="M46" s="49">
        <f t="shared" si="1"/>
        <v>0.64788611030027432</v>
      </c>
      <c r="N46" s="50">
        <f>SUM(K46-G46)</f>
        <v>-13371260.808499999</v>
      </c>
      <c r="O46" s="51"/>
      <c r="P46" s="52"/>
      <c r="Q46" s="76"/>
      <c r="R46" s="54"/>
    </row>
    <row r="47" spans="1:24" ht="15.75" thickBot="1" x14ac:dyDescent="0.3">
      <c r="A47" s="63"/>
      <c r="B47" s="141"/>
      <c r="C47" s="63"/>
      <c r="D47" s="142"/>
      <c r="E47" s="64"/>
      <c r="F47" s="65"/>
      <c r="G47" s="65">
        <f>SUM(G44:G46)</f>
        <v>291548269.6645</v>
      </c>
      <c r="H47" s="65">
        <f>SUM(H44:H46)</f>
        <v>13252194.075659093</v>
      </c>
      <c r="I47" s="66">
        <f>SUM(I44:I46)</f>
        <v>55777619</v>
      </c>
      <c r="J47" s="77">
        <f>SUM(J44:J46)</f>
        <v>16384418</v>
      </c>
      <c r="K47" s="78">
        <f>SUM(K44:K46)</f>
        <v>72162037</v>
      </c>
      <c r="L47" s="69">
        <f t="shared" si="0"/>
        <v>1.236355120250918</v>
      </c>
      <c r="M47" s="70">
        <f t="shared" si="1"/>
        <v>0.24751317194590339</v>
      </c>
      <c r="N47" s="71">
        <f>SUM(N44:N46)</f>
        <v>-219386232.6645</v>
      </c>
      <c r="O47" s="72">
        <v>0</v>
      </c>
      <c r="P47" s="73" t="e">
        <f>SUM(P37:P46)</f>
        <v>#VALUE!</v>
      </c>
      <c r="Q47" s="74" t="e">
        <f>K47-P47</f>
        <v>#VALUE!</v>
      </c>
      <c r="R47" s="75" t="e">
        <f>SUM(R37:R46)</f>
        <v>#VALUE!</v>
      </c>
    </row>
    <row r="48" spans="1:24" x14ac:dyDescent="0.25">
      <c r="A48" s="42">
        <v>15</v>
      </c>
      <c r="B48" s="141"/>
      <c r="C48" s="42">
        <v>11</v>
      </c>
      <c r="D48" s="142"/>
      <c r="E48" s="43" t="s">
        <v>68</v>
      </c>
      <c r="F48" s="44" t="s">
        <v>52</v>
      </c>
      <c r="G48" s="55">
        <v>132192587.84399998</v>
      </c>
      <c r="H48" s="44">
        <f t="shared" ref="H48:H50" si="14">G48/22</f>
        <v>6008753.9929090897</v>
      </c>
      <c r="I48" s="45">
        <f>IFERROR(VLOOKUP(E48,[2]Sheet2!$A$5:$C$31,3,0),0)</f>
        <v>20264109</v>
      </c>
      <c r="J48" s="46">
        <f>IFERROR(VLOOKUP(E48,[2]Sheet3!$A$5:$C$30,3,0),0)</f>
        <v>2932403</v>
      </c>
      <c r="K48" s="47">
        <f>SUM(I48:J48)</f>
        <v>23196512</v>
      </c>
      <c r="L48" s="48">
        <f t="shared" si="0"/>
        <v>0.4880218100891664</v>
      </c>
      <c r="M48" s="49">
        <f t="shared" si="1"/>
        <v>0.17547513350275074</v>
      </c>
      <c r="N48" s="50">
        <f>SUM(K48-G48)</f>
        <v>-108996075.84399998</v>
      </c>
      <c r="O48" s="51">
        <v>0</v>
      </c>
      <c r="P48" s="52" t="e">
        <f>F48-(F48*20%)</f>
        <v>#VALUE!</v>
      </c>
      <c r="Q48" s="76" t="e">
        <f>K48-P48</f>
        <v>#VALUE!</v>
      </c>
      <c r="R48" s="54" t="e">
        <f>Q48/3</f>
        <v>#VALUE!</v>
      </c>
    </row>
    <row r="49" spans="1:18" x14ac:dyDescent="0.25">
      <c r="A49" s="42"/>
      <c r="B49" s="141"/>
      <c r="C49" s="42"/>
      <c r="D49" s="142"/>
      <c r="E49" s="43"/>
      <c r="F49" s="44" t="s">
        <v>53</v>
      </c>
      <c r="G49" s="55">
        <v>74017016.831999987</v>
      </c>
      <c r="H49" s="44">
        <f t="shared" si="14"/>
        <v>3364409.8559999992</v>
      </c>
      <c r="I49" s="56">
        <f>IFERROR(VLOOKUP(E48,[2]Sheet2!$A$5:$B$31,2,0),0)</f>
        <v>9399580</v>
      </c>
      <c r="J49" s="46">
        <f>IFERROR(VLOOKUP(E48,[2]Sheet3!$A$5:$B$30,2,0),0)</f>
        <v>1762624</v>
      </c>
      <c r="K49" s="47">
        <f>SUM(I49:J49)</f>
        <v>11162204</v>
      </c>
      <c r="L49" s="48">
        <f t="shared" si="0"/>
        <v>0.52390287611855113</v>
      </c>
      <c r="M49" s="49">
        <f t="shared" si="1"/>
        <v>0.15080591569010943</v>
      </c>
      <c r="N49" s="50">
        <f>SUM(K49-G49)</f>
        <v>-62854812.831999987</v>
      </c>
      <c r="O49" s="51"/>
      <c r="P49" s="52"/>
      <c r="Q49" s="101"/>
      <c r="R49" s="54"/>
    </row>
    <row r="50" spans="1:18" ht="15.75" thickBot="1" x14ac:dyDescent="0.3">
      <c r="A50" s="42"/>
      <c r="B50" s="141"/>
      <c r="C50" s="42"/>
      <c r="D50" s="142"/>
      <c r="E50" s="43"/>
      <c r="F50" s="44" t="s">
        <v>54</v>
      </c>
      <c r="G50" s="55">
        <v>88702563.229000002</v>
      </c>
      <c r="H50" s="44">
        <f t="shared" si="14"/>
        <v>4031934.6922272728</v>
      </c>
      <c r="I50" s="60">
        <f>IFERROR(VLOOKUP(E48,[2]Sheet2!$A$5:$D$31,4,0),0)</f>
        <v>14335617</v>
      </c>
      <c r="J50" s="61">
        <f>IFERROR(VLOOKUP(E48,[2]Sheet3!$A$5:$D$31,4,0),0)</f>
        <v>0</v>
      </c>
      <c r="K50" s="62">
        <f>SUM(I50:J50)</f>
        <v>14335617</v>
      </c>
      <c r="L50" s="48">
        <f t="shared" si="0"/>
        <v>0</v>
      </c>
      <c r="M50" s="49">
        <f t="shared" si="1"/>
        <v>0.16161446161358706</v>
      </c>
      <c r="N50" s="50">
        <f>SUM(K50-G50)</f>
        <v>-74366946.229000002</v>
      </c>
      <c r="O50" s="51"/>
      <c r="P50" s="52"/>
      <c r="Q50" s="101"/>
      <c r="R50" s="54"/>
    </row>
    <row r="51" spans="1:18" ht="15.75" thickBot="1" x14ac:dyDescent="0.3">
      <c r="A51" s="63"/>
      <c r="B51" s="141"/>
      <c r="C51" s="63"/>
      <c r="D51" s="142"/>
      <c r="E51" s="64"/>
      <c r="F51" s="65"/>
      <c r="G51" s="65">
        <f>SUM(G48:G50)</f>
        <v>294912167.90499997</v>
      </c>
      <c r="H51" s="65">
        <f>SUM(H48:H50)</f>
        <v>13405098.541136362</v>
      </c>
      <c r="I51" s="66">
        <f>SUM(I48:I50)</f>
        <v>43999306</v>
      </c>
      <c r="J51" s="77">
        <f>SUM(J48:J50)</f>
        <v>4695027</v>
      </c>
      <c r="K51" s="78">
        <f>SUM(K48:K50)</f>
        <v>48694333</v>
      </c>
      <c r="L51" s="69">
        <f t="shared" si="0"/>
        <v>0.35024188636825931</v>
      </c>
      <c r="M51" s="70">
        <f t="shared" si="1"/>
        <v>0.16511469616840599</v>
      </c>
      <c r="N51" s="71">
        <f>SUM(N48:N50)</f>
        <v>-246217834.90499997</v>
      </c>
      <c r="O51" s="72">
        <v>0</v>
      </c>
      <c r="P51" s="73" t="e">
        <f>SUM(P41:P50)</f>
        <v>#VALUE!</v>
      </c>
      <c r="Q51" s="74" t="e">
        <f>K51-P51</f>
        <v>#VALUE!</v>
      </c>
      <c r="R51" s="75" t="e">
        <f>SUM(R41:R50)</f>
        <v>#VALUE!</v>
      </c>
    </row>
    <row r="52" spans="1:18" ht="15.75" customHeight="1" x14ac:dyDescent="0.25">
      <c r="A52" s="42">
        <v>16</v>
      </c>
      <c r="B52" s="141"/>
      <c r="C52" s="42">
        <v>12</v>
      </c>
      <c r="D52" s="142"/>
      <c r="E52" s="90" t="s">
        <v>69</v>
      </c>
      <c r="F52" s="44" t="s">
        <v>52</v>
      </c>
      <c r="G52" s="55">
        <v>108197261.48999999</v>
      </c>
      <c r="H52" s="44">
        <f t="shared" ref="H52:H54" si="15">G52/22</f>
        <v>4918057.3404545449</v>
      </c>
      <c r="I52" s="45">
        <f>IFERROR(VLOOKUP(E52,[2]Sheet2!$A$5:$C$31,3,0),0)</f>
        <v>11640461</v>
      </c>
      <c r="J52" s="46">
        <f>IFERROR(VLOOKUP(E52,[2]Sheet3!$A$5:$C$30,3,0),0)</f>
        <v>2458818</v>
      </c>
      <c r="K52" s="47">
        <f>SUM(I52:J52)</f>
        <v>14099279</v>
      </c>
      <c r="L52" s="48">
        <f t="shared" si="0"/>
        <v>0.49995716393431622</v>
      </c>
      <c r="M52" s="49">
        <f t="shared" si="1"/>
        <v>0.13031086744559714</v>
      </c>
      <c r="N52" s="50">
        <f>SUM(K52-G52)</f>
        <v>-94097982.489999995</v>
      </c>
      <c r="O52" s="51">
        <v>0</v>
      </c>
      <c r="P52" s="52" t="e">
        <f>F52-(F52*20%)</f>
        <v>#VALUE!</v>
      </c>
      <c r="Q52" s="102" t="e">
        <f>K52-P52</f>
        <v>#VALUE!</v>
      </c>
      <c r="R52" s="54" t="e">
        <f>Q52/3</f>
        <v>#VALUE!</v>
      </c>
    </row>
    <row r="53" spans="1:18" ht="15.75" customHeight="1" x14ac:dyDescent="0.25">
      <c r="A53" s="95"/>
      <c r="B53" s="141"/>
      <c r="C53" s="96"/>
      <c r="D53" s="142"/>
      <c r="E53" s="43"/>
      <c r="F53" s="44" t="s">
        <v>53</v>
      </c>
      <c r="G53" s="55">
        <v>82953009.090000004</v>
      </c>
      <c r="H53" s="44">
        <f t="shared" si="15"/>
        <v>3770591.3222727273</v>
      </c>
      <c r="I53" s="56">
        <f>IFERROR(VLOOKUP(E52,[2]Sheet2!$A$5:$B$31,2,0),0)</f>
        <v>7073217</v>
      </c>
      <c r="J53" s="46">
        <f>IFERROR(VLOOKUP(E52,[2]Sheet3!$A$5:$B$30,2,0),0)</f>
        <v>3108850</v>
      </c>
      <c r="K53" s="47">
        <f>SUM(I53:J53)</f>
        <v>10182067</v>
      </c>
      <c r="L53" s="48">
        <f t="shared" si="0"/>
        <v>0.82449932498283529</v>
      </c>
      <c r="M53" s="49">
        <f t="shared" si="1"/>
        <v>0.12274499878543224</v>
      </c>
      <c r="N53" s="50">
        <f>SUM(K53-G53)</f>
        <v>-72770942.090000004</v>
      </c>
      <c r="O53" s="97"/>
      <c r="P53" s="98"/>
      <c r="Q53" s="99"/>
      <c r="R53" s="100"/>
    </row>
    <row r="54" spans="1:18" ht="15.75" customHeight="1" thickBot="1" x14ac:dyDescent="0.3">
      <c r="A54" s="95"/>
      <c r="B54" s="141"/>
      <c r="C54" s="95"/>
      <c r="D54" s="142"/>
      <c r="E54" s="43"/>
      <c r="F54" s="44" t="s">
        <v>54</v>
      </c>
      <c r="G54" s="55">
        <v>163187702.34280005</v>
      </c>
      <c r="H54" s="44">
        <f t="shared" si="15"/>
        <v>7417622.8337636385</v>
      </c>
      <c r="I54" s="60">
        <f>IFERROR(VLOOKUP(E52,[2]Sheet2!$A$5:$D$31,4,0),0)</f>
        <v>660915</v>
      </c>
      <c r="J54" s="61">
        <f>IFERROR(VLOOKUP(E52,[2]Sheet3!$A$5:$D$31,4,0),0)</f>
        <v>5725175</v>
      </c>
      <c r="K54" s="62">
        <f>SUM(I54:J54)</f>
        <v>6386090</v>
      </c>
      <c r="L54" s="48">
        <f t="shared" si="0"/>
        <v>0.77183420191440166</v>
      </c>
      <c r="M54" s="49">
        <f t="shared" si="1"/>
        <v>3.9133402262047097E-2</v>
      </c>
      <c r="N54" s="50">
        <f>SUM(K54-G54)</f>
        <v>-156801612.34280005</v>
      </c>
      <c r="O54" s="97"/>
      <c r="P54" s="98"/>
      <c r="Q54" s="99"/>
      <c r="R54" s="100"/>
    </row>
    <row r="55" spans="1:18" ht="15.75" thickBot="1" x14ac:dyDescent="0.3">
      <c r="A55" s="63"/>
      <c r="B55" s="141"/>
      <c r="C55" s="63"/>
      <c r="D55" s="143"/>
      <c r="E55" s="64"/>
      <c r="F55" s="65"/>
      <c r="G55" s="65">
        <f>SUM(G52:G54)</f>
        <v>354337972.92280006</v>
      </c>
      <c r="H55" s="65">
        <f>SUM(H52:H54)</f>
        <v>16106271.496490911</v>
      </c>
      <c r="I55" s="65">
        <f>SUM(I52:I54)</f>
        <v>19374593</v>
      </c>
      <c r="J55" s="77">
        <f>SUM(J52:J54)</f>
        <v>11292843</v>
      </c>
      <c r="K55" s="78">
        <f>SUM(K52:K54)</f>
        <v>30667436</v>
      </c>
      <c r="L55" s="69">
        <f t="shared" si="0"/>
        <v>0.70114569982633057</v>
      </c>
      <c r="M55" s="70">
        <f t="shared" si="1"/>
        <v>8.6548545014907399E-2</v>
      </c>
      <c r="N55" s="71">
        <f>SUM(N52:N54)</f>
        <v>-323670536.92280006</v>
      </c>
      <c r="O55" s="72">
        <v>0</v>
      </c>
      <c r="P55" s="73" t="e">
        <f>SUM(P45:P54)</f>
        <v>#VALUE!</v>
      </c>
      <c r="Q55" s="74" t="e">
        <f>K55-P55</f>
        <v>#VALUE!</v>
      </c>
      <c r="R55" s="75" t="e">
        <f>SUM(R45:R54)</f>
        <v>#VALUE!</v>
      </c>
    </row>
    <row r="56" spans="1:18" ht="15.75" thickBot="1" x14ac:dyDescent="0.3">
      <c r="A56" s="79"/>
      <c r="B56" s="141"/>
      <c r="C56" s="80"/>
      <c r="D56" s="81" t="s">
        <v>70</v>
      </c>
      <c r="E56" s="82"/>
      <c r="F56" s="83"/>
      <c r="G56" s="83">
        <f>SUM(G55,G51,G47,G43)</f>
        <v>1452685401.39505</v>
      </c>
      <c r="H56" s="83">
        <f>SUM(H55,H51,H47,H43)</f>
        <v>66031154.608865909</v>
      </c>
      <c r="I56" s="83">
        <f>SUM(I55,I51,I47,I43)</f>
        <v>243243585</v>
      </c>
      <c r="J56" s="103">
        <f>SUM(J55,J51,J47,J43)</f>
        <v>51132640</v>
      </c>
      <c r="K56" s="86">
        <f>SUM(K43,K47,K51,K55)</f>
        <v>294376225</v>
      </c>
      <c r="L56" s="87">
        <f t="shared" si="0"/>
        <v>0.77437143576972212</v>
      </c>
      <c r="M56" s="87">
        <f t="shared" si="1"/>
        <v>0.20264279156196047</v>
      </c>
      <c r="N56" s="88">
        <f>SUM(N55,N51,N47,N43)</f>
        <v>-1158309176.39505</v>
      </c>
      <c r="O56" s="72">
        <v>0</v>
      </c>
      <c r="P56" s="73" t="e">
        <f>SUM(P40:P52)</f>
        <v>#VALUE!</v>
      </c>
      <c r="Q56" s="74" t="e">
        <f>K56-P56</f>
        <v>#VALUE!</v>
      </c>
      <c r="R56" s="75" t="e">
        <f>SUM(R40:R52)</f>
        <v>#VALUE!</v>
      </c>
    </row>
    <row r="57" spans="1:18" x14ac:dyDescent="0.25">
      <c r="A57" s="42">
        <v>17</v>
      </c>
      <c r="B57" s="141"/>
      <c r="C57" s="42">
        <v>13</v>
      </c>
      <c r="D57" s="142" t="s">
        <v>71</v>
      </c>
      <c r="E57" s="90" t="s">
        <v>72</v>
      </c>
      <c r="F57" s="44" t="s">
        <v>52</v>
      </c>
      <c r="G57" s="55">
        <v>24640780.725750007</v>
      </c>
      <c r="H57" s="44">
        <f t="shared" ref="H57:H59" si="16">G57/22</f>
        <v>1120035.4875340911</v>
      </c>
      <c r="I57" s="45">
        <f>IFERROR(VLOOKUP(E57,[2]Sheet2!$A$5:$C$31,3,0),0)</f>
        <v>13710280</v>
      </c>
      <c r="J57" s="46">
        <f>IFERROR(VLOOKUP(E57,[2]Sheet3!$A$5:$C$30,3,0),0)</f>
        <v>4845720</v>
      </c>
      <c r="K57" s="47">
        <f>SUM(I57:J57)</f>
        <v>18556000</v>
      </c>
      <c r="L57" s="48">
        <f t="shared" si="0"/>
        <v>4.3263986310545439</v>
      </c>
      <c r="M57" s="49">
        <f t="shared" si="1"/>
        <v>0.75306055463610722</v>
      </c>
      <c r="N57" s="50">
        <f>SUM(K57-G57)</f>
        <v>-6084780.7257500067</v>
      </c>
      <c r="O57" s="51">
        <v>0</v>
      </c>
      <c r="P57" s="52" t="e">
        <f>F57-(F57*20%)</f>
        <v>#VALUE!</v>
      </c>
      <c r="Q57" s="76" t="e">
        <f>K57-P57</f>
        <v>#VALUE!</v>
      </c>
      <c r="R57" s="54" t="e">
        <f>Q57/3</f>
        <v>#VALUE!</v>
      </c>
    </row>
    <row r="58" spans="1:18" x14ac:dyDescent="0.25">
      <c r="A58" s="42"/>
      <c r="B58" s="141"/>
      <c r="C58" s="42"/>
      <c r="D58" s="142"/>
      <c r="E58" s="43"/>
      <c r="F58" s="44" t="s">
        <v>53</v>
      </c>
      <c r="G58" s="55">
        <v>71752207.130500004</v>
      </c>
      <c r="H58" s="44">
        <f t="shared" si="16"/>
        <v>3261463.960477273</v>
      </c>
      <c r="I58" s="56">
        <f>IFERROR(VLOOKUP(E57,[2]Sheet2!$A$5:$B$31,2,0),0)</f>
        <v>0</v>
      </c>
      <c r="J58" s="46">
        <f>IFERROR(VLOOKUP(E57,[2]Sheet3!$A$5:$B$30,2,0),0)</f>
        <v>0</v>
      </c>
      <c r="K58" s="47">
        <f>SUM(I58:J58)</f>
        <v>0</v>
      </c>
      <c r="L58" s="48">
        <f t="shared" si="0"/>
        <v>0</v>
      </c>
      <c r="M58" s="49">
        <f t="shared" si="1"/>
        <v>0</v>
      </c>
      <c r="N58" s="50">
        <f>SUM(K58-G58)</f>
        <v>-71752207.130500004</v>
      </c>
      <c r="O58" s="51"/>
      <c r="P58" s="52"/>
      <c r="Q58" s="76"/>
      <c r="R58" s="54"/>
    </row>
    <row r="59" spans="1:18" ht="15.75" thickBot="1" x14ac:dyDescent="0.3">
      <c r="A59" s="42"/>
      <c r="B59" s="141"/>
      <c r="C59" s="42"/>
      <c r="D59" s="142"/>
      <c r="E59" s="43"/>
      <c r="F59" s="44" t="s">
        <v>54</v>
      </c>
      <c r="G59" s="55">
        <v>6572404.9859999996</v>
      </c>
      <c r="H59" s="44">
        <f t="shared" si="16"/>
        <v>298745.68118181819</v>
      </c>
      <c r="I59" s="60">
        <f>IFERROR(VLOOKUP(E57,[2]Sheet2!$A$5:$D$31,4,0),0)</f>
        <v>4074000</v>
      </c>
      <c r="J59" s="61">
        <f>IFERROR(VLOOKUP(E57,[2]Sheet3!$A$5:$D$31,4,0),0)</f>
        <v>2040000</v>
      </c>
      <c r="K59" s="62">
        <f>SUM(I59:J59)</f>
        <v>6114000</v>
      </c>
      <c r="L59" s="48">
        <f t="shared" si="0"/>
        <v>6.8285505983882171</v>
      </c>
      <c r="M59" s="49">
        <f t="shared" si="1"/>
        <v>0.93025308285529329</v>
      </c>
      <c r="N59" s="50">
        <f>SUM(K59-G59)</f>
        <v>-458404.98599999957</v>
      </c>
      <c r="O59" s="51"/>
      <c r="P59" s="52"/>
      <c r="Q59" s="76"/>
      <c r="R59" s="54"/>
    </row>
    <row r="60" spans="1:18" ht="15.75" thickBot="1" x14ac:dyDescent="0.3">
      <c r="A60" s="63"/>
      <c r="B60" s="141"/>
      <c r="C60" s="63"/>
      <c r="D60" s="142"/>
      <c r="E60" s="64"/>
      <c r="F60" s="65"/>
      <c r="G60" s="65">
        <f>SUM(G57:G59)</f>
        <v>102965392.84225002</v>
      </c>
      <c r="H60" s="65">
        <f>SUM(H57:H59)</f>
        <v>4680245.1291931821</v>
      </c>
      <c r="I60" s="65">
        <f>SUM(I57:I59)</f>
        <v>17784280</v>
      </c>
      <c r="J60" s="65">
        <f>SUM(J57:J59)</f>
        <v>6885720</v>
      </c>
      <c r="K60" s="78">
        <f>SUM(K57:K59)</f>
        <v>24670000</v>
      </c>
      <c r="L60" s="69">
        <f t="shared" si="0"/>
        <v>1.4712306321414867</v>
      </c>
      <c r="M60" s="70">
        <f t="shared" si="1"/>
        <v>0.23959506508945308</v>
      </c>
      <c r="N60" s="71">
        <f>SUM(N57:N59)</f>
        <v>-78295392.842250019</v>
      </c>
      <c r="O60" s="72">
        <v>0</v>
      </c>
      <c r="P60" s="73" t="e">
        <f>SUM(P50:P59)</f>
        <v>#VALUE!</v>
      </c>
      <c r="Q60" s="74" t="e">
        <f>K60-P60</f>
        <v>#VALUE!</v>
      </c>
      <c r="R60" s="75" t="e">
        <f>SUM(R50:R59)</f>
        <v>#VALUE!</v>
      </c>
    </row>
    <row r="61" spans="1:18" x14ac:dyDescent="0.25">
      <c r="A61" s="89">
        <v>18</v>
      </c>
      <c r="B61" s="141"/>
      <c r="C61" s="89">
        <v>14</v>
      </c>
      <c r="D61" s="142"/>
      <c r="E61" s="43" t="s">
        <v>73</v>
      </c>
      <c r="F61" s="44" t="s">
        <v>52</v>
      </c>
      <c r="G61" s="55">
        <v>78842793.413249999</v>
      </c>
      <c r="H61" s="44">
        <f t="shared" ref="H61:H63" si="17">G61/22</f>
        <v>3583763.3369659092</v>
      </c>
      <c r="I61" s="45">
        <f>IFERROR(VLOOKUP(E61,[2]Sheet2!$A$5:$C$31,3,0),0)</f>
        <v>8367979</v>
      </c>
      <c r="J61" s="46">
        <f>IFERROR(VLOOKUP(E61,[2]Sheet3!$A$5:$C$30,3,0),0)</f>
        <v>16439552</v>
      </c>
      <c r="K61" s="47">
        <f>SUM(I61:J61)</f>
        <v>24807531</v>
      </c>
      <c r="L61" s="48">
        <f t="shared" si="0"/>
        <v>4.5872314810603747</v>
      </c>
      <c r="M61" s="49">
        <f t="shared" si="1"/>
        <v>0.31464551071868729</v>
      </c>
      <c r="N61" s="50">
        <f>SUM(K61-G61)</f>
        <v>-54035262.413249999</v>
      </c>
      <c r="O61" s="51">
        <v>0</v>
      </c>
      <c r="P61" s="52" t="e">
        <f>F61-(F61*20%)</f>
        <v>#VALUE!</v>
      </c>
      <c r="Q61" s="76" t="e">
        <f>K61-P61</f>
        <v>#VALUE!</v>
      </c>
      <c r="R61" s="54" t="e">
        <f>Q61/3</f>
        <v>#VALUE!</v>
      </c>
    </row>
    <row r="62" spans="1:18" x14ac:dyDescent="0.25">
      <c r="A62" s="95"/>
      <c r="B62" s="141"/>
      <c r="C62" s="96"/>
      <c r="D62" s="142"/>
      <c r="E62" s="43"/>
      <c r="F62" s="44" t="s">
        <v>53</v>
      </c>
      <c r="G62" s="55">
        <v>121790009.14500001</v>
      </c>
      <c r="H62" s="44">
        <f t="shared" si="17"/>
        <v>5535909.5065909093</v>
      </c>
      <c r="I62" s="56">
        <f>IFERROR(VLOOKUP(E61,[2]Sheet2!$A$5:$B$31,2,0),0)</f>
        <v>9149945</v>
      </c>
      <c r="J62" s="46">
        <f>IFERROR(VLOOKUP(E61,[2]Sheet3!$A$5:$B$30,2,0),0)</f>
        <v>4483456</v>
      </c>
      <c r="K62" s="47">
        <f>SUM(I62:J62)</f>
        <v>13633401</v>
      </c>
      <c r="L62" s="48">
        <f t="shared" si="0"/>
        <v>0.80988607105338595</v>
      </c>
      <c r="M62" s="49">
        <f t="shared" si="1"/>
        <v>0.11194186695370413</v>
      </c>
      <c r="N62" s="50">
        <f>SUM(K62-G62)</f>
        <v>-108156608.14500001</v>
      </c>
      <c r="O62" s="97"/>
      <c r="P62" s="98"/>
      <c r="Q62" s="104"/>
      <c r="R62" s="100"/>
    </row>
    <row r="63" spans="1:18" ht="15.75" thickBot="1" x14ac:dyDescent="0.3">
      <c r="A63" s="95"/>
      <c r="B63" s="141"/>
      <c r="C63" s="95"/>
      <c r="D63" s="142"/>
      <c r="E63" s="43"/>
      <c r="F63" s="44" t="s">
        <v>54</v>
      </c>
      <c r="G63" s="55">
        <v>233605635.06500003</v>
      </c>
      <c r="H63" s="44">
        <f t="shared" si="17"/>
        <v>10618437.957500001</v>
      </c>
      <c r="I63" s="60">
        <f>IFERROR(VLOOKUP(E61,[2]Sheet2!$A$5:$D$31,4,0),0)</f>
        <v>42825420</v>
      </c>
      <c r="J63" s="61">
        <f>IFERROR(VLOOKUP(E61,[2]Sheet3!$A$5:$D$31,4,0),0)</f>
        <v>11381930</v>
      </c>
      <c r="K63" s="62">
        <f>SUM(I63:J63)</f>
        <v>54207350</v>
      </c>
      <c r="L63" s="48">
        <f t="shared" si="0"/>
        <v>1.0719024818486349</v>
      </c>
      <c r="M63" s="49">
        <f t="shared" si="1"/>
        <v>0.23204641439799592</v>
      </c>
      <c r="N63" s="50">
        <f>SUM(K63-G63)</f>
        <v>-179398285.06500003</v>
      </c>
      <c r="O63" s="97"/>
      <c r="P63" s="98"/>
      <c r="Q63" s="104"/>
      <c r="R63" s="100"/>
    </row>
    <row r="64" spans="1:18" ht="15.75" thickBot="1" x14ac:dyDescent="0.3">
      <c r="A64" s="63"/>
      <c r="B64" s="141"/>
      <c r="C64" s="63"/>
      <c r="D64" s="143"/>
      <c r="E64" s="64"/>
      <c r="F64" s="65"/>
      <c r="G64" s="65">
        <f>SUM(G61:G63)</f>
        <v>434238437.62325001</v>
      </c>
      <c r="H64" s="65">
        <f>SUM(H61:H63)</f>
        <v>19738110.801056817</v>
      </c>
      <c r="I64" s="65">
        <f>SUM(I61:I63)</f>
        <v>60343344</v>
      </c>
      <c r="J64" s="77">
        <f>SUM(J61:J63)</f>
        <v>32304938</v>
      </c>
      <c r="K64" s="78">
        <f>SUM(K61:K63)</f>
        <v>92648282</v>
      </c>
      <c r="L64" s="69">
        <f t="shared" si="0"/>
        <v>1.6366783186904763</v>
      </c>
      <c r="M64" s="70">
        <f t="shared" si="1"/>
        <v>0.21335808618670155</v>
      </c>
      <c r="N64" s="71">
        <f>SUM(N61:N63)</f>
        <v>-341590155.62325001</v>
      </c>
      <c r="O64" s="72">
        <v>0</v>
      </c>
      <c r="P64" s="73" t="e">
        <f>SUM(P54:P63)</f>
        <v>#VALUE!</v>
      </c>
      <c r="Q64" s="74" t="e">
        <f>K64-P64</f>
        <v>#VALUE!</v>
      </c>
      <c r="R64" s="75" t="e">
        <f>SUM(R54:R63)</f>
        <v>#VALUE!</v>
      </c>
    </row>
    <row r="65" spans="1:18" ht="15.75" thickBot="1" x14ac:dyDescent="0.3">
      <c r="A65" s="79"/>
      <c r="B65" s="141"/>
      <c r="C65" s="82"/>
      <c r="D65" s="81" t="s">
        <v>74</v>
      </c>
      <c r="E65" s="82"/>
      <c r="F65" s="83"/>
      <c r="G65" s="83">
        <f>SUM(G64,G60)</f>
        <v>537203830.4655</v>
      </c>
      <c r="H65" s="83">
        <f>SUM(H64,H60)</f>
        <v>24418355.93025</v>
      </c>
      <c r="I65" s="84">
        <f>SUM(I60,I64)</f>
        <v>78127624</v>
      </c>
      <c r="J65" s="85">
        <f>SUM(J60,J64)</f>
        <v>39190658</v>
      </c>
      <c r="K65" s="86">
        <f>SUM(K60,K64)</f>
        <v>117318282</v>
      </c>
      <c r="L65" s="87">
        <f t="shared" si="0"/>
        <v>1.6049671039256883</v>
      </c>
      <c r="M65" s="105">
        <f t="shared" si="1"/>
        <v>0.21838690520568496</v>
      </c>
      <c r="N65" s="88">
        <f>SUM(N64,N60)</f>
        <v>-419885548.4655</v>
      </c>
      <c r="O65" s="72">
        <v>0</v>
      </c>
      <c r="P65" s="73" t="e">
        <f>SUM(P48:P60)</f>
        <v>#VALUE!</v>
      </c>
      <c r="Q65" s="74" t="e">
        <f>K65-P65</f>
        <v>#VALUE!</v>
      </c>
      <c r="R65" s="75" t="e">
        <f>SUM(R48:R60)</f>
        <v>#VALUE!</v>
      </c>
    </row>
    <row r="66" spans="1:18" ht="30.75" customHeight="1" thickBot="1" x14ac:dyDescent="0.3">
      <c r="A66" s="131" t="s">
        <v>75</v>
      </c>
      <c r="B66" s="132"/>
      <c r="C66" s="132"/>
      <c r="D66" s="132"/>
      <c r="E66" s="133"/>
      <c r="F66" s="106"/>
      <c r="G66" s="106">
        <f>SUM(G22,G39,G56,G65)</f>
        <v>4845451291.9687996</v>
      </c>
      <c r="H66" s="106">
        <f>SUM(H65,H56,H39,H22)</f>
        <v>220247785.99858183</v>
      </c>
      <c r="I66" s="107">
        <f>SUM(I22,I39,I56,I65)</f>
        <v>966933590</v>
      </c>
      <c r="J66" s="108">
        <f>SUM(J22,J39,J56,J65)</f>
        <v>245211916</v>
      </c>
      <c r="K66" s="108">
        <f>SUM(K22,K39,K56,K65)</f>
        <v>1212145506</v>
      </c>
      <c r="L66" s="109">
        <f t="shared" si="0"/>
        <v>1.1133456569755436</v>
      </c>
      <c r="M66" s="110">
        <f t="shared" si="1"/>
        <v>0.25016152943464676</v>
      </c>
      <c r="N66" s="111">
        <f>SUM(N65,N56,N39,N22)</f>
        <v>-3633305785.9688001</v>
      </c>
      <c r="O66" s="112">
        <v>0</v>
      </c>
      <c r="P66" s="113" t="e">
        <f>SUM(P4,#REF!,#REF!,P31,#REF!)</f>
        <v>#REF!</v>
      </c>
      <c r="Q66" s="114" t="e">
        <f>K66-P66</f>
        <v>#REF!</v>
      </c>
      <c r="R66" s="115" t="e">
        <f>SUM(R4,#REF!,#REF!,R31,#REF!)</f>
        <v>#REF!</v>
      </c>
    </row>
    <row r="67" spans="1:18" ht="15.75" thickBot="1" x14ac:dyDescent="0.3"/>
    <row r="68" spans="1:18" ht="15.75" thickBot="1" x14ac:dyDescent="0.3">
      <c r="A68" s="116" t="s">
        <v>76</v>
      </c>
      <c r="B68" s="117"/>
      <c r="C68" s="118" t="s">
        <v>76</v>
      </c>
      <c r="D68" s="119"/>
      <c r="I68" s="120"/>
      <c r="K68" s="10"/>
    </row>
    <row r="69" spans="1:18" x14ac:dyDescent="0.25">
      <c r="A69" s="121" t="s">
        <v>77</v>
      </c>
      <c r="C69" s="121" t="s">
        <v>77</v>
      </c>
    </row>
    <row r="70" spans="1:18" x14ac:dyDescent="0.25">
      <c r="A70" s="122" t="s">
        <v>78</v>
      </c>
      <c r="C70" s="122" t="s">
        <v>79</v>
      </c>
      <c r="K70" s="123"/>
    </row>
    <row r="71" spans="1:18" x14ac:dyDescent="0.25">
      <c r="A71" s="122" t="s">
        <v>80</v>
      </c>
      <c r="C71" s="122" t="s">
        <v>81</v>
      </c>
    </row>
  </sheetData>
  <mergeCells count="15">
    <mergeCell ref="A66:E66"/>
    <mergeCell ref="K4:K5"/>
    <mergeCell ref="L4:N4"/>
    <mergeCell ref="O4:O5"/>
    <mergeCell ref="B6:B65"/>
    <mergeCell ref="D6:D21"/>
    <mergeCell ref="D23:D38"/>
    <mergeCell ref="D40:D55"/>
    <mergeCell ref="D57:D64"/>
    <mergeCell ref="C4:C5"/>
    <mergeCell ref="D4:D5"/>
    <mergeCell ref="E4:E5"/>
    <mergeCell ref="F4:F5"/>
    <mergeCell ref="G4:H4"/>
    <mergeCell ref="I4:J4"/>
  </mergeCells>
  <conditionalFormatting sqref="E61:E63">
    <cfRule type="duplicateValues" dxfId="164" priority="165"/>
  </conditionalFormatting>
  <conditionalFormatting sqref="E57">
    <cfRule type="duplicateValues" dxfId="163" priority="164"/>
  </conditionalFormatting>
  <conditionalFormatting sqref="E58:E59">
    <cfRule type="duplicateValues" dxfId="162" priority="163"/>
  </conditionalFormatting>
  <conditionalFormatting sqref="E18:E20">
    <cfRule type="duplicateValues" dxfId="161" priority="162"/>
  </conditionalFormatting>
  <conditionalFormatting sqref="E18:E20">
    <cfRule type="duplicateValues" dxfId="160" priority="161"/>
  </conditionalFormatting>
  <conditionalFormatting sqref="E18">
    <cfRule type="duplicateValues" dxfId="159" priority="160"/>
  </conditionalFormatting>
  <conditionalFormatting sqref="E19:E20">
    <cfRule type="duplicateValues" dxfId="158" priority="159"/>
  </conditionalFormatting>
  <conditionalFormatting sqref="E14:E16">
    <cfRule type="duplicateValues" dxfId="157" priority="158"/>
  </conditionalFormatting>
  <conditionalFormatting sqref="E14">
    <cfRule type="duplicateValues" dxfId="156" priority="157"/>
  </conditionalFormatting>
  <conditionalFormatting sqref="E15:E16">
    <cfRule type="duplicateValues" dxfId="155" priority="156"/>
  </conditionalFormatting>
  <conditionalFormatting sqref="E14">
    <cfRule type="duplicateValues" dxfId="154" priority="155"/>
  </conditionalFormatting>
  <conditionalFormatting sqref="E15:E16">
    <cfRule type="duplicateValues" dxfId="153" priority="154"/>
  </conditionalFormatting>
  <conditionalFormatting sqref="E14:E16">
    <cfRule type="duplicateValues" dxfId="152" priority="153"/>
  </conditionalFormatting>
  <conditionalFormatting sqref="E14">
    <cfRule type="duplicateValues" dxfId="151" priority="152"/>
  </conditionalFormatting>
  <conditionalFormatting sqref="E15:E16">
    <cfRule type="duplicateValues" dxfId="150" priority="151"/>
  </conditionalFormatting>
  <conditionalFormatting sqref="E14:E16">
    <cfRule type="duplicateValues" dxfId="149" priority="150"/>
  </conditionalFormatting>
  <conditionalFormatting sqref="E14:E16">
    <cfRule type="duplicateValues" dxfId="148" priority="149"/>
  </conditionalFormatting>
  <conditionalFormatting sqref="E14:E16">
    <cfRule type="duplicateValues" dxfId="147" priority="148"/>
  </conditionalFormatting>
  <conditionalFormatting sqref="E14">
    <cfRule type="duplicateValues" dxfId="146" priority="147"/>
  </conditionalFormatting>
  <conditionalFormatting sqref="E15:E16">
    <cfRule type="duplicateValues" dxfId="145" priority="146"/>
  </conditionalFormatting>
  <conditionalFormatting sqref="E14:E16">
    <cfRule type="duplicateValues" dxfId="144" priority="145"/>
  </conditionalFormatting>
  <conditionalFormatting sqref="E14">
    <cfRule type="duplicateValues" dxfId="143" priority="144"/>
  </conditionalFormatting>
  <conditionalFormatting sqref="E15:E16">
    <cfRule type="duplicateValues" dxfId="142" priority="143"/>
  </conditionalFormatting>
  <conditionalFormatting sqref="E14">
    <cfRule type="duplicateValues" dxfId="141" priority="142"/>
  </conditionalFormatting>
  <conditionalFormatting sqref="E15:E16">
    <cfRule type="duplicateValues" dxfId="140" priority="141"/>
  </conditionalFormatting>
  <conditionalFormatting sqref="E14:E16">
    <cfRule type="duplicateValues" dxfId="139" priority="140"/>
  </conditionalFormatting>
  <conditionalFormatting sqref="E35:E37">
    <cfRule type="duplicateValues" dxfId="138" priority="139"/>
  </conditionalFormatting>
  <conditionalFormatting sqref="E35:E37">
    <cfRule type="duplicateValues" dxfId="137" priority="138"/>
  </conditionalFormatting>
  <conditionalFormatting sqref="E35:E37">
    <cfRule type="duplicateValues" dxfId="136" priority="137"/>
  </conditionalFormatting>
  <conditionalFormatting sqref="E35">
    <cfRule type="duplicateValues" dxfId="135" priority="136"/>
  </conditionalFormatting>
  <conditionalFormatting sqref="E36:E37">
    <cfRule type="duplicateValues" dxfId="134" priority="135"/>
  </conditionalFormatting>
  <conditionalFormatting sqref="E14:E16">
    <cfRule type="duplicateValues" dxfId="133" priority="134"/>
  </conditionalFormatting>
  <conditionalFormatting sqref="E18:E20">
    <cfRule type="duplicateValues" dxfId="132" priority="133"/>
  </conditionalFormatting>
  <conditionalFormatting sqref="E18">
    <cfRule type="duplicateValues" dxfId="131" priority="132"/>
  </conditionalFormatting>
  <conditionalFormatting sqref="E19:E20">
    <cfRule type="duplicateValues" dxfId="130" priority="131"/>
  </conditionalFormatting>
  <conditionalFormatting sqref="E18">
    <cfRule type="duplicateValues" dxfId="129" priority="130"/>
  </conditionalFormatting>
  <conditionalFormatting sqref="E19:E20">
    <cfRule type="duplicateValues" dxfId="128" priority="129"/>
  </conditionalFormatting>
  <conditionalFormatting sqref="E18:E20">
    <cfRule type="duplicateValues" dxfId="127" priority="128"/>
  </conditionalFormatting>
  <conditionalFormatting sqref="E18">
    <cfRule type="duplicateValues" dxfId="126" priority="127"/>
  </conditionalFormatting>
  <conditionalFormatting sqref="E19:E20">
    <cfRule type="duplicateValues" dxfId="125" priority="126"/>
  </conditionalFormatting>
  <conditionalFormatting sqref="E18:E20">
    <cfRule type="duplicateValues" dxfId="124" priority="125"/>
  </conditionalFormatting>
  <conditionalFormatting sqref="E18:E20">
    <cfRule type="duplicateValues" dxfId="123" priority="124"/>
  </conditionalFormatting>
  <conditionalFormatting sqref="E18:E20">
    <cfRule type="duplicateValues" dxfId="122" priority="123"/>
  </conditionalFormatting>
  <conditionalFormatting sqref="E18">
    <cfRule type="duplicateValues" dxfId="121" priority="122"/>
  </conditionalFormatting>
  <conditionalFormatting sqref="E19:E20">
    <cfRule type="duplicateValues" dxfId="120" priority="121"/>
  </conditionalFormatting>
  <conditionalFormatting sqref="E18:E20">
    <cfRule type="duplicateValues" dxfId="119" priority="120"/>
  </conditionalFormatting>
  <conditionalFormatting sqref="E18">
    <cfRule type="duplicateValues" dxfId="118" priority="119"/>
  </conditionalFormatting>
  <conditionalFormatting sqref="E19:E20">
    <cfRule type="duplicateValues" dxfId="117" priority="118"/>
  </conditionalFormatting>
  <conditionalFormatting sqref="E18">
    <cfRule type="duplicateValues" dxfId="116" priority="117"/>
  </conditionalFormatting>
  <conditionalFormatting sqref="E19:E20">
    <cfRule type="duplicateValues" dxfId="115" priority="116"/>
  </conditionalFormatting>
  <conditionalFormatting sqref="E18:E20">
    <cfRule type="duplicateValues" dxfId="114" priority="115"/>
  </conditionalFormatting>
  <conditionalFormatting sqref="U8:U10">
    <cfRule type="duplicateValues" dxfId="113" priority="114"/>
  </conditionalFormatting>
  <conditionalFormatting sqref="U8">
    <cfRule type="duplicateValues" dxfId="112" priority="113"/>
  </conditionalFormatting>
  <conditionalFormatting sqref="U9:U10">
    <cfRule type="duplicateValues" dxfId="111" priority="112"/>
  </conditionalFormatting>
  <conditionalFormatting sqref="U8">
    <cfRule type="duplicateValues" dxfId="110" priority="111"/>
  </conditionalFormatting>
  <conditionalFormatting sqref="U9:U10">
    <cfRule type="duplicateValues" dxfId="109" priority="110"/>
  </conditionalFormatting>
  <conditionalFormatting sqref="U8:U10">
    <cfRule type="duplicateValues" dxfId="108" priority="109"/>
  </conditionalFormatting>
  <conditionalFormatting sqref="U8">
    <cfRule type="duplicateValues" dxfId="107" priority="108"/>
  </conditionalFormatting>
  <conditionalFormatting sqref="U9:U10">
    <cfRule type="duplicateValues" dxfId="106" priority="107"/>
  </conditionalFormatting>
  <conditionalFormatting sqref="U8:U10">
    <cfRule type="duplicateValues" dxfId="105" priority="106"/>
  </conditionalFormatting>
  <conditionalFormatting sqref="U8:U10">
    <cfRule type="duplicateValues" dxfId="104" priority="105"/>
  </conditionalFormatting>
  <conditionalFormatting sqref="U8:U10">
    <cfRule type="duplicateValues" dxfId="103" priority="104"/>
  </conditionalFormatting>
  <conditionalFormatting sqref="U8">
    <cfRule type="duplicateValues" dxfId="102" priority="103"/>
  </conditionalFormatting>
  <conditionalFormatting sqref="U9:U10">
    <cfRule type="duplicateValues" dxfId="101" priority="102"/>
  </conditionalFormatting>
  <conditionalFormatting sqref="U8:U10">
    <cfRule type="duplicateValues" dxfId="100" priority="101"/>
  </conditionalFormatting>
  <conditionalFormatting sqref="U8">
    <cfRule type="duplicateValues" dxfId="99" priority="100"/>
  </conditionalFormatting>
  <conditionalFormatting sqref="U9:U10">
    <cfRule type="duplicateValues" dxfId="98" priority="99"/>
  </conditionalFormatting>
  <conditionalFormatting sqref="U8">
    <cfRule type="duplicateValues" dxfId="97" priority="98"/>
  </conditionalFormatting>
  <conditionalFormatting sqref="U9:U10">
    <cfRule type="duplicateValues" dxfId="96" priority="97"/>
  </conditionalFormatting>
  <conditionalFormatting sqref="U8:U10">
    <cfRule type="duplicateValues" dxfId="95" priority="96"/>
  </conditionalFormatting>
  <conditionalFormatting sqref="U8:U10">
    <cfRule type="duplicateValues" dxfId="94" priority="95"/>
  </conditionalFormatting>
  <conditionalFormatting sqref="E14:E16">
    <cfRule type="duplicateValues" dxfId="93" priority="94"/>
  </conditionalFormatting>
  <conditionalFormatting sqref="E14:E16">
    <cfRule type="duplicateValues" dxfId="92" priority="93"/>
  </conditionalFormatting>
  <conditionalFormatting sqref="E14">
    <cfRule type="duplicateValues" dxfId="91" priority="92"/>
  </conditionalFormatting>
  <conditionalFormatting sqref="E15:E16">
    <cfRule type="duplicateValues" dxfId="90" priority="91"/>
  </conditionalFormatting>
  <conditionalFormatting sqref="E52:E54">
    <cfRule type="duplicateValues" dxfId="89" priority="90"/>
  </conditionalFormatting>
  <conditionalFormatting sqref="E48">
    <cfRule type="duplicateValues" dxfId="88" priority="89"/>
  </conditionalFormatting>
  <conditionalFormatting sqref="E49:E50">
    <cfRule type="duplicateValues" dxfId="87" priority="88"/>
  </conditionalFormatting>
  <conditionalFormatting sqref="E48:E50">
    <cfRule type="duplicateValues" dxfId="86" priority="87"/>
  </conditionalFormatting>
  <conditionalFormatting sqref="E48:E50">
    <cfRule type="duplicateValues" dxfId="85" priority="86"/>
  </conditionalFormatting>
  <conditionalFormatting sqref="E48:E50">
    <cfRule type="duplicateValues" dxfId="84" priority="85"/>
  </conditionalFormatting>
  <conditionalFormatting sqref="E48">
    <cfRule type="duplicateValues" dxfId="83" priority="84"/>
  </conditionalFormatting>
  <conditionalFormatting sqref="E49:E50">
    <cfRule type="duplicateValues" dxfId="82" priority="83"/>
  </conditionalFormatting>
  <conditionalFormatting sqref="E48:E50">
    <cfRule type="duplicateValues" dxfId="81" priority="82"/>
  </conditionalFormatting>
  <conditionalFormatting sqref="E6:E8">
    <cfRule type="duplicateValues" dxfId="80" priority="81"/>
  </conditionalFormatting>
  <conditionalFormatting sqref="E6:E8">
    <cfRule type="duplicateValues" dxfId="79" priority="80"/>
  </conditionalFormatting>
  <conditionalFormatting sqref="E6">
    <cfRule type="duplicateValues" dxfId="78" priority="79"/>
  </conditionalFormatting>
  <conditionalFormatting sqref="E7:E8">
    <cfRule type="duplicateValues" dxfId="77" priority="78"/>
  </conditionalFormatting>
  <conditionalFormatting sqref="E6:E8">
    <cfRule type="duplicateValues" dxfId="76" priority="77"/>
  </conditionalFormatting>
  <conditionalFormatting sqref="E6">
    <cfRule type="duplicateValues" dxfId="75" priority="76"/>
  </conditionalFormatting>
  <conditionalFormatting sqref="E7:E8">
    <cfRule type="duplicateValues" dxfId="74" priority="75"/>
  </conditionalFormatting>
  <conditionalFormatting sqref="E6:E8">
    <cfRule type="duplicateValues" dxfId="73" priority="74"/>
  </conditionalFormatting>
  <conditionalFormatting sqref="E6">
    <cfRule type="duplicateValues" dxfId="72" priority="73"/>
  </conditionalFormatting>
  <conditionalFormatting sqref="E7:E8">
    <cfRule type="duplicateValues" dxfId="71" priority="72"/>
  </conditionalFormatting>
  <conditionalFormatting sqref="E6">
    <cfRule type="duplicateValues" dxfId="70" priority="71"/>
  </conditionalFormatting>
  <conditionalFormatting sqref="E7:E8">
    <cfRule type="duplicateValues" dxfId="69" priority="70"/>
  </conditionalFormatting>
  <conditionalFormatting sqref="E6:E8">
    <cfRule type="duplicateValues" dxfId="68" priority="69"/>
  </conditionalFormatting>
  <conditionalFormatting sqref="E6">
    <cfRule type="duplicateValues" dxfId="67" priority="68"/>
  </conditionalFormatting>
  <conditionalFormatting sqref="E7:E8">
    <cfRule type="duplicateValues" dxfId="66" priority="67"/>
  </conditionalFormatting>
  <conditionalFormatting sqref="E6:E8">
    <cfRule type="duplicateValues" dxfId="65" priority="66"/>
  </conditionalFormatting>
  <conditionalFormatting sqref="E6:E8">
    <cfRule type="duplicateValues" dxfId="64" priority="65"/>
  </conditionalFormatting>
  <conditionalFormatting sqref="E10:E12">
    <cfRule type="duplicateValues" dxfId="63" priority="64"/>
  </conditionalFormatting>
  <conditionalFormatting sqref="E10">
    <cfRule type="duplicateValues" dxfId="62" priority="63"/>
  </conditionalFormatting>
  <conditionalFormatting sqref="E11:E12">
    <cfRule type="duplicateValues" dxfId="61" priority="62"/>
  </conditionalFormatting>
  <conditionalFormatting sqref="E10">
    <cfRule type="duplicateValues" dxfId="60" priority="61"/>
  </conditionalFormatting>
  <conditionalFormatting sqref="E11:E12">
    <cfRule type="duplicateValues" dxfId="59" priority="60"/>
  </conditionalFormatting>
  <conditionalFormatting sqref="E10:E12">
    <cfRule type="duplicateValues" dxfId="58" priority="59"/>
  </conditionalFormatting>
  <conditionalFormatting sqref="E10">
    <cfRule type="duplicateValues" dxfId="57" priority="58"/>
  </conditionalFormatting>
  <conditionalFormatting sqref="E11:E12">
    <cfRule type="duplicateValues" dxfId="56" priority="57"/>
  </conditionalFormatting>
  <conditionalFormatting sqref="E10:E12">
    <cfRule type="duplicateValues" dxfId="55" priority="56"/>
  </conditionalFormatting>
  <conditionalFormatting sqref="E10:E12">
    <cfRule type="duplicateValues" dxfId="54" priority="55"/>
  </conditionalFormatting>
  <conditionalFormatting sqref="E10:E12">
    <cfRule type="duplicateValues" dxfId="53" priority="54"/>
  </conditionalFormatting>
  <conditionalFormatting sqref="E10">
    <cfRule type="duplicateValues" dxfId="52" priority="53"/>
  </conditionalFormatting>
  <conditionalFormatting sqref="E11:E12">
    <cfRule type="duplicateValues" dxfId="51" priority="52"/>
  </conditionalFormatting>
  <conditionalFormatting sqref="E10:E12">
    <cfRule type="duplicateValues" dxfId="50" priority="51"/>
  </conditionalFormatting>
  <conditionalFormatting sqref="E10">
    <cfRule type="duplicateValues" dxfId="49" priority="50"/>
  </conditionalFormatting>
  <conditionalFormatting sqref="E11:E12">
    <cfRule type="duplicateValues" dxfId="48" priority="49"/>
  </conditionalFormatting>
  <conditionalFormatting sqref="E10">
    <cfRule type="duplicateValues" dxfId="47" priority="48"/>
  </conditionalFormatting>
  <conditionalFormatting sqref="E11:E12">
    <cfRule type="duplicateValues" dxfId="46" priority="47"/>
  </conditionalFormatting>
  <conditionalFormatting sqref="E10:E12">
    <cfRule type="duplicateValues" dxfId="45" priority="46"/>
  </conditionalFormatting>
  <conditionalFormatting sqref="E10:E12">
    <cfRule type="duplicateValues" dxfId="44" priority="45"/>
  </conditionalFormatting>
  <conditionalFormatting sqref="E35:E37">
    <cfRule type="duplicateValues" dxfId="43" priority="44"/>
  </conditionalFormatting>
  <conditionalFormatting sqref="E23:E25">
    <cfRule type="duplicateValues" dxfId="42" priority="43"/>
  </conditionalFormatting>
  <conditionalFormatting sqref="E23:E25">
    <cfRule type="duplicateValues" dxfId="41" priority="42"/>
  </conditionalFormatting>
  <conditionalFormatting sqref="E23:E25">
    <cfRule type="duplicateValues" dxfId="40" priority="41"/>
  </conditionalFormatting>
  <conditionalFormatting sqref="E23">
    <cfRule type="duplicateValues" dxfId="39" priority="40"/>
  </conditionalFormatting>
  <conditionalFormatting sqref="E24:E25">
    <cfRule type="duplicateValues" dxfId="38" priority="39"/>
  </conditionalFormatting>
  <conditionalFormatting sqref="E48:E50">
    <cfRule type="duplicateValues" dxfId="37" priority="38"/>
  </conditionalFormatting>
  <conditionalFormatting sqref="E48">
    <cfRule type="duplicateValues" dxfId="36" priority="37"/>
  </conditionalFormatting>
  <conditionalFormatting sqref="E49:E50">
    <cfRule type="duplicateValues" dxfId="35" priority="36"/>
  </conditionalFormatting>
  <conditionalFormatting sqref="E48:E50">
    <cfRule type="duplicateValues" dxfId="34" priority="35"/>
  </conditionalFormatting>
  <conditionalFormatting sqref="E48">
    <cfRule type="duplicateValues" dxfId="33" priority="34"/>
  </conditionalFormatting>
  <conditionalFormatting sqref="E49:E50">
    <cfRule type="duplicateValues" dxfId="32" priority="33"/>
  </conditionalFormatting>
  <conditionalFormatting sqref="E52">
    <cfRule type="duplicateValues" dxfId="31" priority="32"/>
  </conditionalFormatting>
  <conditionalFormatting sqref="E53:E54">
    <cfRule type="duplicateValues" dxfId="30" priority="31"/>
  </conditionalFormatting>
  <conditionalFormatting sqref="E52:E54">
    <cfRule type="duplicateValues" dxfId="29" priority="30"/>
  </conditionalFormatting>
  <conditionalFormatting sqref="E52:E54">
    <cfRule type="duplicateValues" dxfId="28" priority="29"/>
  </conditionalFormatting>
  <conditionalFormatting sqref="E52:E54">
    <cfRule type="duplicateValues" dxfId="27" priority="28"/>
  </conditionalFormatting>
  <conditionalFormatting sqref="E52">
    <cfRule type="duplicateValues" dxfId="26" priority="27"/>
  </conditionalFormatting>
  <conditionalFormatting sqref="E53:E54">
    <cfRule type="duplicateValues" dxfId="25" priority="26"/>
  </conditionalFormatting>
  <conditionalFormatting sqref="E52:E54">
    <cfRule type="duplicateValues" dxfId="24" priority="25"/>
  </conditionalFormatting>
  <conditionalFormatting sqref="E44:E46">
    <cfRule type="duplicateValues" dxfId="23" priority="24"/>
  </conditionalFormatting>
  <conditionalFormatting sqref="E40:E42">
    <cfRule type="duplicateValues" dxfId="22" priority="23"/>
  </conditionalFormatting>
  <conditionalFormatting sqref="E40">
    <cfRule type="duplicateValues" dxfId="21" priority="22"/>
  </conditionalFormatting>
  <conditionalFormatting sqref="E41:E42">
    <cfRule type="duplicateValues" dxfId="20" priority="21"/>
  </conditionalFormatting>
  <conditionalFormatting sqref="E40:E42">
    <cfRule type="duplicateValues" dxfId="19" priority="20"/>
  </conditionalFormatting>
  <conditionalFormatting sqref="E40">
    <cfRule type="duplicateValues" dxfId="18" priority="19"/>
  </conditionalFormatting>
  <conditionalFormatting sqref="E41:E42">
    <cfRule type="duplicateValues" dxfId="17" priority="18"/>
  </conditionalFormatting>
  <conditionalFormatting sqref="E40">
    <cfRule type="duplicateValues" dxfId="16" priority="17"/>
  </conditionalFormatting>
  <conditionalFormatting sqref="E41:E42">
    <cfRule type="duplicateValues" dxfId="15" priority="16"/>
  </conditionalFormatting>
  <conditionalFormatting sqref="E40:E42">
    <cfRule type="duplicateValues" dxfId="14" priority="15"/>
  </conditionalFormatting>
  <conditionalFormatting sqref="E40">
    <cfRule type="duplicateValues" dxfId="13" priority="14"/>
  </conditionalFormatting>
  <conditionalFormatting sqref="E41:E42">
    <cfRule type="duplicateValues" dxfId="12" priority="13"/>
  </conditionalFormatting>
  <conditionalFormatting sqref="E40">
    <cfRule type="duplicateValues" dxfId="11" priority="12"/>
  </conditionalFormatting>
  <conditionalFormatting sqref="E41:E42">
    <cfRule type="duplicateValues" dxfId="10" priority="11"/>
  </conditionalFormatting>
  <conditionalFormatting sqref="E40:E42">
    <cfRule type="duplicateValues" dxfId="9" priority="10"/>
  </conditionalFormatting>
  <conditionalFormatting sqref="E40:E42">
    <cfRule type="duplicateValues" dxfId="8" priority="9"/>
  </conditionalFormatting>
  <conditionalFormatting sqref="U31:U33">
    <cfRule type="duplicateValues" dxfId="7" priority="8"/>
  </conditionalFormatting>
  <conditionalFormatting sqref="U31:U33">
    <cfRule type="duplicateValues" dxfId="6" priority="7"/>
  </conditionalFormatting>
  <conditionalFormatting sqref="E31:E33">
    <cfRule type="duplicateValues" dxfId="5" priority="6"/>
  </conditionalFormatting>
  <conditionalFormatting sqref="E31:E33">
    <cfRule type="duplicateValues" dxfId="4" priority="5"/>
  </conditionalFormatting>
  <conditionalFormatting sqref="E31:E33">
    <cfRule type="duplicateValues" dxfId="3" priority="4"/>
  </conditionalFormatting>
  <conditionalFormatting sqref="E31:E33">
    <cfRule type="duplicateValues" dxfId="2" priority="3"/>
  </conditionalFormatting>
  <conditionalFormatting sqref="E27:E29">
    <cfRule type="duplicateValues" dxfId="1" priority="2"/>
  </conditionalFormatting>
  <conditionalFormatting sqref="E27:E29">
    <cfRule type="duplicateValues" dxfId="0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3:H13"/>
  <sheetViews>
    <sheetView zoomScale="160" zoomScaleNormal="160" workbookViewId="0">
      <selection activeCell="L16" sqref="L16"/>
    </sheetView>
  </sheetViews>
  <sheetFormatPr defaultRowHeight="15" x14ac:dyDescent="0.25"/>
  <cols>
    <col min="3" max="3" width="11.7109375" bestFit="1" customWidth="1"/>
    <col min="4" max="4" width="18.42578125" customWidth="1"/>
  </cols>
  <sheetData>
    <row r="3" spans="2:8" x14ac:dyDescent="0.25">
      <c r="B3" t="s">
        <v>83</v>
      </c>
    </row>
    <row r="4" spans="2:8" ht="30" x14ac:dyDescent="0.25">
      <c r="B4" s="5" t="s">
        <v>0</v>
      </c>
      <c r="C4" s="5" t="s">
        <v>1</v>
      </c>
      <c r="D4" s="7" t="s">
        <v>18</v>
      </c>
      <c r="E4" s="5" t="s">
        <v>3</v>
      </c>
      <c r="F4" s="5" t="s">
        <v>2</v>
      </c>
      <c r="G4" s="5" t="s">
        <v>4</v>
      </c>
      <c r="H4" s="5" t="s">
        <v>5</v>
      </c>
    </row>
    <row r="5" spans="2:8" x14ac:dyDescent="0.25">
      <c r="B5" s="1">
        <v>1</v>
      </c>
      <c r="C5" t="s">
        <v>19</v>
      </c>
    </row>
    <row r="6" spans="2:8" x14ac:dyDescent="0.25">
      <c r="B6" s="1">
        <v>2</v>
      </c>
      <c r="C6" t="s">
        <v>20</v>
      </c>
    </row>
    <row r="7" spans="2:8" x14ac:dyDescent="0.25">
      <c r="B7" s="1">
        <v>3</v>
      </c>
      <c r="C7" t="s">
        <v>21</v>
      </c>
    </row>
    <row r="8" spans="2:8" x14ac:dyDescent="0.25">
      <c r="B8" s="1">
        <v>4</v>
      </c>
      <c r="C8" t="s">
        <v>22</v>
      </c>
    </row>
    <row r="9" spans="2:8" x14ac:dyDescent="0.25">
      <c r="B9" s="1">
        <v>5</v>
      </c>
      <c r="C9" t="s">
        <v>23</v>
      </c>
    </row>
    <row r="10" spans="2:8" x14ac:dyDescent="0.25">
      <c r="B10" s="1">
        <v>6</v>
      </c>
      <c r="C10" t="s">
        <v>24</v>
      </c>
    </row>
    <row r="11" spans="2:8" x14ac:dyDescent="0.25">
      <c r="B11" s="1">
        <v>7</v>
      </c>
      <c r="C11" t="s">
        <v>25</v>
      </c>
    </row>
    <row r="12" spans="2:8" x14ac:dyDescent="0.25">
      <c r="B12" s="1">
        <v>8</v>
      </c>
      <c r="C12" t="s">
        <v>26</v>
      </c>
    </row>
    <row r="13" spans="2:8" x14ac:dyDescent="0.25">
      <c r="B13" s="130" t="s">
        <v>17</v>
      </c>
      <c r="C13" s="130"/>
      <c r="D13" s="6"/>
      <c r="E13" s="3"/>
      <c r="F13" s="3"/>
      <c r="G13" s="3"/>
      <c r="H13" s="3"/>
    </row>
  </sheetData>
  <mergeCells count="1">
    <mergeCell ref="B13:C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H13"/>
  <sheetViews>
    <sheetView zoomScale="179" zoomScaleNormal="179" workbookViewId="0">
      <selection activeCell="C18" sqref="C18"/>
    </sheetView>
  </sheetViews>
  <sheetFormatPr defaultRowHeight="15" x14ac:dyDescent="0.25"/>
  <cols>
    <col min="3" max="3" width="11.7109375" bestFit="1" customWidth="1"/>
    <col min="4" max="4" width="18.42578125" customWidth="1"/>
  </cols>
  <sheetData>
    <row r="3" spans="2:8" x14ac:dyDescent="0.25">
      <c r="B3" t="s">
        <v>82</v>
      </c>
    </row>
    <row r="4" spans="2:8" ht="30" x14ac:dyDescent="0.25">
      <c r="B4" s="5" t="s">
        <v>0</v>
      </c>
      <c r="C4" s="5" t="s">
        <v>1</v>
      </c>
      <c r="D4" s="7" t="s">
        <v>18</v>
      </c>
      <c r="E4" s="5" t="s">
        <v>3</v>
      </c>
      <c r="F4" s="5" t="s">
        <v>2</v>
      </c>
      <c r="G4" s="5" t="s">
        <v>4</v>
      </c>
      <c r="H4" s="5" t="s">
        <v>5</v>
      </c>
    </row>
    <row r="5" spans="2:8" x14ac:dyDescent="0.25">
      <c r="B5" s="1">
        <v>1</v>
      </c>
      <c r="C5" t="s">
        <v>19</v>
      </c>
    </row>
    <row r="6" spans="2:8" x14ac:dyDescent="0.25">
      <c r="B6" s="1">
        <v>2</v>
      </c>
      <c r="C6" t="s">
        <v>20</v>
      </c>
    </row>
    <row r="7" spans="2:8" x14ac:dyDescent="0.25">
      <c r="B7" s="1">
        <v>3</v>
      </c>
      <c r="C7" t="s">
        <v>21</v>
      </c>
    </row>
    <row r="8" spans="2:8" x14ac:dyDescent="0.25">
      <c r="B8" s="1">
        <v>4</v>
      </c>
      <c r="C8" t="s">
        <v>22</v>
      </c>
    </row>
    <row r="9" spans="2:8" x14ac:dyDescent="0.25">
      <c r="B9" s="1">
        <v>5</v>
      </c>
      <c r="C9" t="s">
        <v>23</v>
      </c>
    </row>
    <row r="10" spans="2:8" x14ac:dyDescent="0.25">
      <c r="B10" s="1">
        <v>6</v>
      </c>
      <c r="C10" t="s">
        <v>24</v>
      </c>
    </row>
    <row r="11" spans="2:8" x14ac:dyDescent="0.25">
      <c r="B11" s="1">
        <v>7</v>
      </c>
      <c r="C11" t="s">
        <v>25</v>
      </c>
    </row>
    <row r="12" spans="2:8" x14ac:dyDescent="0.25">
      <c r="B12" s="1">
        <v>8</v>
      </c>
      <c r="C12" t="s">
        <v>26</v>
      </c>
    </row>
    <row r="13" spans="2:8" x14ac:dyDescent="0.25">
      <c r="B13" s="130" t="s">
        <v>17</v>
      </c>
      <c r="C13" s="130"/>
      <c r="D13" s="6"/>
      <c r="E13" s="3"/>
      <c r="F13" s="3"/>
      <c r="G13" s="3"/>
      <c r="H13" s="3"/>
    </row>
  </sheetData>
  <mergeCells count="1"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 CABANG</vt:lpstr>
      <vt:lpstr>AT SALESMAN</vt:lpstr>
      <vt:lpstr>AT DETAIL</vt:lpstr>
      <vt:lpstr>AT HOMEBRAND</vt:lpstr>
      <vt:lpstr>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tosyo_manin</cp:lastModifiedBy>
  <dcterms:created xsi:type="dcterms:W3CDTF">2026-10-15T08:42:03Z</dcterms:created>
  <dcterms:modified xsi:type="dcterms:W3CDTF">2026-10-19T02:45:34Z</dcterms:modified>
</cp:coreProperties>
</file>